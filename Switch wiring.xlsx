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witch Positions" sheetId="1" state="visible" r:id="rId2"/>
    <sheet name="Ethernet patches" sheetId="2" state="visible" r:id="rId3"/>
    <sheet name="Lights" sheetId="3" state="visible" r:id="rId4"/>
    <sheet name="Map Layout" sheetId="4" state="visible" r:id="rId5"/>
  </sheets>
  <definedNames>
    <definedName name="_xlnm._FilterDatabase">Lights!$A$1:$K$101</definedName>
    <definedName name="_xlnm._FilterDatabase" localSheetId="2" hidden="1">Lights!$A$1:$K$101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<sst xmlns="http://schemas.openxmlformats.org/spreadsheetml/2006/main" count="182" uniqueCount="182">
  <si>
    <t xml:space="preserve">Light Fitting</t>
  </si>
  <si>
    <t xml:space="preserve">Patch Panel Location</t>
  </si>
  <si>
    <t xml:space="preserve">Button order</t>
  </si>
  <si>
    <t xml:space="preserve">Map X</t>
  </si>
  <si>
    <t xml:space="preserve">Map Y</t>
  </si>
  <si>
    <t xml:space="preserve">Master Bath</t>
  </si>
  <si>
    <t>2</t>
  </si>
  <si>
    <t xml:space="preserve">Master Bed near Bath</t>
  </si>
  <si>
    <t xml:space="preserve">Lounge near Master Bed</t>
  </si>
  <si>
    <t xml:space="preserve">Master Bed Near sliding Door</t>
  </si>
  <si>
    <t>0</t>
  </si>
  <si>
    <t>Bed3</t>
  </si>
  <si>
    <t>5</t>
  </si>
  <si>
    <t xml:space="preserve">Kitchen bench</t>
  </si>
  <si>
    <t xml:space="preserve">Near Screen Door</t>
  </si>
  <si>
    <t xml:space="preserve">B office</t>
  </si>
  <si>
    <t>4</t>
  </si>
  <si>
    <t xml:space="preserve">Hall near Kitchen</t>
  </si>
  <si>
    <t>Laundry/Kitchen</t>
  </si>
  <si>
    <t>1</t>
  </si>
  <si>
    <t xml:space="preserve">Laundry near external door</t>
  </si>
  <si>
    <t>3</t>
  </si>
  <si>
    <t>Powder</t>
  </si>
  <si>
    <t xml:space="preserve">Server Room</t>
  </si>
  <si>
    <t>Bed2</t>
  </si>
  <si>
    <t xml:space="preserve">Bath2 near Bed2</t>
  </si>
  <si>
    <t xml:space="preserve">Bath2 near Bed3</t>
  </si>
  <si>
    <t xml:space="preserve">Front Door</t>
  </si>
  <si>
    <t>Cellar</t>
  </si>
  <si>
    <t xml:space="preserve">Air Compressor Nook</t>
  </si>
  <si>
    <t xml:space="preserve">Steel Wall at bottom of stairs</t>
  </si>
  <si>
    <t xml:space="preserve">Top of stairs</t>
  </si>
  <si>
    <t xml:space="preserve">solar nook</t>
  </si>
  <si>
    <t>6</t>
  </si>
  <si>
    <t>Brewery</t>
  </si>
  <si>
    <t xml:space="preserve">M studio near balcony</t>
  </si>
  <si>
    <t xml:space="preserve">M studio near door</t>
  </si>
  <si>
    <t xml:space="preserve">Master Bed near Pivot</t>
  </si>
  <si>
    <t>Position</t>
  </si>
  <si>
    <t xml:space="preserve">Switch Position</t>
  </si>
  <si>
    <t>Thing</t>
  </si>
  <si>
    <t xml:space="preserve">Wiring Fault</t>
  </si>
  <si>
    <t xml:space="preserve">main tv</t>
  </si>
  <si>
    <t xml:space="preserve">Bed2 left (printer)</t>
  </si>
  <si>
    <t xml:space="preserve">Bed 2 ap</t>
  </si>
  <si>
    <t>???</t>
  </si>
  <si>
    <t xml:space="preserve">Mel studio ap</t>
  </si>
  <si>
    <t xml:space="preserve">Melissa bed side table</t>
  </si>
  <si>
    <t xml:space="preserve">Mel studio</t>
  </si>
  <si>
    <t xml:space="preserve">lounge room ap</t>
  </si>
  <si>
    <t xml:space="preserve">front doorbell</t>
  </si>
  <si>
    <t xml:space="preserve">side doorbell</t>
  </si>
  <si>
    <t xml:space="preserve">brewery under table</t>
  </si>
  <si>
    <t xml:space="preserve">Bruce office 2 (near stairs)</t>
  </si>
  <si>
    <t xml:space="preserve">Bruce office 1 (dock)</t>
  </si>
  <si>
    <t xml:space="preserve">WIR ap</t>
  </si>
  <si>
    <t xml:space="preserve">Bed2 Right</t>
  </si>
  <si>
    <t>NON-ETH</t>
  </si>
  <si>
    <t xml:space="preserve">Master Bed Button panel</t>
  </si>
  <si>
    <t xml:space="preserve">air con / solar / bike shed</t>
  </si>
  <si>
    <t xml:space="preserve">Brewery Button panel</t>
  </si>
  <si>
    <t>carport</t>
  </si>
  <si>
    <t xml:space="preserve">4,5 open</t>
  </si>
  <si>
    <t xml:space="preserve">B studio AP</t>
  </si>
  <si>
    <t>Light</t>
  </si>
  <si>
    <t>Location</t>
  </si>
  <si>
    <t>Device</t>
  </si>
  <si>
    <t>Address</t>
  </si>
  <si>
    <t xml:space="preserve">Fix Name</t>
  </si>
  <si>
    <t>Btn1</t>
  </si>
  <si>
    <t xml:space="preserve">Fix Name 2</t>
  </si>
  <si>
    <t>Btn2</t>
  </si>
  <si>
    <t xml:space="preserve">Fix name 3</t>
  </si>
  <si>
    <t>Btn3</t>
  </si>
  <si>
    <t>Note</t>
  </si>
  <si>
    <t xml:space="preserve">Master Bath Fan</t>
  </si>
  <si>
    <t xml:space="preserve">Cellar Exterior</t>
  </si>
  <si>
    <t xml:space="preserve">garden near pool</t>
  </si>
  <si>
    <t>Exterior</t>
  </si>
  <si>
    <t>fireplace</t>
  </si>
  <si>
    <t>Lounge</t>
  </si>
  <si>
    <t xml:space="preserve">back Deck thin end</t>
  </si>
  <si>
    <t xml:space="preserve">Laundry Fan</t>
  </si>
  <si>
    <t>Laundry</t>
  </si>
  <si>
    <t xml:space="preserve">Powder Fan</t>
  </si>
  <si>
    <t xml:space="preserve">Powder Room</t>
  </si>
  <si>
    <t xml:space="preserve">Cellar interior</t>
  </si>
  <si>
    <t xml:space="preserve">Master bath towel rail heater</t>
  </si>
  <si>
    <t xml:space="preserve">air compressor nook</t>
  </si>
  <si>
    <t>Exteriror</t>
  </si>
  <si>
    <t xml:space="preserve">Carport ceiling</t>
  </si>
  <si>
    <t xml:space="preserve">Front Garden</t>
  </si>
  <si>
    <t xml:space="preserve">side entry exterior, front of bike shed and letterbox</t>
  </si>
  <si>
    <t xml:space="preserve">Bath2 anton</t>
  </si>
  <si>
    <t>Bath2</t>
  </si>
  <si>
    <t xml:space="preserve">Powder anton</t>
  </si>
  <si>
    <t xml:space="preserve">Almond and northwest</t>
  </si>
  <si>
    <t xml:space="preserve">Master Bath Anton</t>
  </si>
  <si>
    <t xml:space="preserve">pool wall, and the metal wall extender</t>
  </si>
  <si>
    <t xml:space="preserve">Northeast exterior</t>
  </si>
  <si>
    <t xml:space="preserve">Jewellery pendant</t>
  </si>
  <si>
    <t>Hall</t>
  </si>
  <si>
    <t xml:space="preserve">M studio balcony</t>
  </si>
  <si>
    <t xml:space="preserve">M Studio</t>
  </si>
  <si>
    <t xml:space="preserve">AirCon / Solar Nook</t>
  </si>
  <si>
    <t xml:space="preserve">Air con Hutch</t>
  </si>
  <si>
    <t xml:space="preserve">Bath2 fan</t>
  </si>
  <si>
    <t xml:space="preserve">External Air Intake</t>
  </si>
  <si>
    <t xml:space="preserve">top of stairs</t>
  </si>
  <si>
    <t xml:space="preserve">Back deck towel rail</t>
  </si>
  <si>
    <t xml:space="preserve">M studio 3 bar</t>
  </si>
  <si>
    <t xml:space="preserve">B studio exterior east</t>
  </si>
  <si>
    <t xml:space="preserve">Side Entry</t>
  </si>
  <si>
    <t xml:space="preserve">M studio 1 spot</t>
  </si>
  <si>
    <t xml:space="preserve">B studio ceiling LED strip</t>
  </si>
  <si>
    <t xml:space="preserve">B Studio</t>
  </si>
  <si>
    <t xml:space="preserve">M studio 2 bar</t>
  </si>
  <si>
    <t xml:space="preserve">M studio 2 spot</t>
  </si>
  <si>
    <t xml:space="preserve">M studio 3 spot</t>
  </si>
  <si>
    <t xml:space="preserve">B studio Drinks</t>
  </si>
  <si>
    <t xml:space="preserve">B studio above Storage</t>
  </si>
  <si>
    <t xml:space="preserve">B studio sticky outy</t>
  </si>
  <si>
    <t xml:space="preserve">M studio bench</t>
  </si>
  <si>
    <t xml:space="preserve">B studio Lightwell</t>
  </si>
  <si>
    <t xml:space="preserve">Above steel wall</t>
  </si>
  <si>
    <t>attic</t>
  </si>
  <si>
    <t xml:space="preserve">M studio 1 bar</t>
  </si>
  <si>
    <t xml:space="preserve">Bath2 ceiling</t>
  </si>
  <si>
    <t xml:space="preserve">Laundry near door</t>
  </si>
  <si>
    <t xml:space="preserve">Hall 4</t>
  </si>
  <si>
    <t xml:space="preserve">Bed2 Ceiling corner</t>
  </si>
  <si>
    <t xml:space="preserve">Bed2 Ceiling near door</t>
  </si>
  <si>
    <t xml:space="preserve">Master Bed WIR near lounge</t>
  </si>
  <si>
    <t xml:space="preserve">Master Bed</t>
  </si>
  <si>
    <t xml:space="preserve">Laundry near exterior</t>
  </si>
  <si>
    <t xml:space="preserve">Kitchen near laundry</t>
  </si>
  <si>
    <t>Kitchen</t>
  </si>
  <si>
    <t xml:space="preserve">Master Bed WIR near bath</t>
  </si>
  <si>
    <t xml:space="preserve">Lounge ceiling near bed</t>
  </si>
  <si>
    <t xml:space="preserve">Bed3 Ceiling near door</t>
  </si>
  <si>
    <t xml:space="preserve">Bed3 Sconce</t>
  </si>
  <si>
    <t xml:space="preserve">Master toilet ceiling</t>
  </si>
  <si>
    <t>BBQ</t>
  </si>
  <si>
    <t xml:space="preserve">Kitchen near fridge</t>
  </si>
  <si>
    <t xml:space="preserve">lounge celining near bookshelf</t>
  </si>
  <si>
    <t xml:space="preserve">Powder ceiling</t>
  </si>
  <si>
    <t xml:space="preserve">Oval Light over informal dining</t>
  </si>
  <si>
    <t xml:space="preserve">Bed3 Curtain</t>
  </si>
  <si>
    <t xml:space="preserve">Bed3 Downlight near window</t>
  </si>
  <si>
    <t xml:space="preserve">Hallway Disc</t>
  </si>
  <si>
    <t xml:space="preserve">kitchen bench</t>
  </si>
  <si>
    <t xml:space="preserve">Master Bath sconce</t>
  </si>
  <si>
    <t xml:space="preserve">Master Toilet window</t>
  </si>
  <si>
    <t xml:space="preserve">Bath2 soap holder</t>
  </si>
  <si>
    <t xml:space="preserve">Lounge sconce</t>
  </si>
  <si>
    <t>Mystery</t>
  </si>
  <si>
    <t>Shower</t>
  </si>
  <si>
    <t xml:space="preserve">Master bed bar near bath</t>
  </si>
  <si>
    <t xml:space="preserve">kitchen spot nearest hall</t>
  </si>
  <si>
    <t xml:space="preserve">Dining Room Upwards firing</t>
  </si>
  <si>
    <t xml:space="preserve">Hall 3 (wide angle)</t>
  </si>
  <si>
    <t xml:space="preserve">Bed2 Curtain</t>
  </si>
  <si>
    <t xml:space="preserve">Dining Room Down firing</t>
  </si>
  <si>
    <t xml:space="preserve">Master Bed Niche</t>
  </si>
  <si>
    <t xml:space="preserve">Bed2 Sconce</t>
  </si>
  <si>
    <t xml:space="preserve">kitchen spot nearest dining</t>
  </si>
  <si>
    <t xml:space="preserve">Hall 1</t>
  </si>
  <si>
    <t xml:space="preserve">Master Bath ceiling strip</t>
  </si>
  <si>
    <t xml:space="preserve">Hall 2</t>
  </si>
  <si>
    <t xml:space="preserve">Front deck under-deck</t>
  </si>
  <si>
    <t xml:space="preserve">Smiley Face</t>
  </si>
  <si>
    <t xml:space="preserve">Has manual switch</t>
  </si>
  <si>
    <t xml:space="preserve">Front Door Light</t>
  </si>
  <si>
    <t xml:space="preserve">Broken Driver</t>
  </si>
  <si>
    <t xml:space="preserve">Laundry cabinet top</t>
  </si>
  <si>
    <t xml:space="preserve">Has No Driver yet</t>
  </si>
  <si>
    <t xml:space="preserve">Back Deck light</t>
  </si>
  <si>
    <t xml:space="preserve">B studio exterior south</t>
  </si>
  <si>
    <t xml:space="preserve">Missing Driver</t>
  </si>
  <si>
    <t>Plate</t>
  </si>
  <si>
    <t>Button</t>
  </si>
  <si>
    <t>Waypoints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</si>
</sst>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Arial"/>
      <scheme val="minor"/>
    </font>
    <font>
      <b/>
      <sz val="10.000000"/>
      <name val="Arial"/>
    </font>
    <font>
      <sz val="10.000000"/>
      <color theme="1"/>
      <name val="Arial"/>
      <scheme val="minor"/>
    </font>
    <font>
      <sz val="10.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0" numFmtId="0" xfId="0" applyFont="1"/>
    <xf fontId="2" fillId="0" borderId="0" numFmtId="49" xfId="0" applyNumberFormat="1" applyFont="1"/>
    <xf fontId="2" fillId="0" borderId="0" numFmtId="0" xfId="0" applyFont="1"/>
    <xf fontId="3" fillId="0" borderId="0" numFmtId="0" xfId="0" applyFont="1"/>
    <xf fontId="2" fillId="0" borderId="0" numFmtId="0" xfId="0" applyFont="1"/>
    <xf fontId="2" fillId="0" borderId="0" numFmtId="1" xfId="0" applyNumberFormat="1" applyFont="1"/>
    <xf fontId="2" fillId="0" borderId="0" numFmtId="1" xfId="0" applyNumberFormat="1" applyFont="1"/>
    <xf fontId="2" fillId="0" borderId="0" numFmtId="49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Theme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heme1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Theme1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2" activeCellId="0" sqref="A12"/>
    </sheetView>
  </sheetViews>
  <sheetFormatPr defaultColWidth="14.5" defaultRowHeight="13" customHeight="1"/>
  <cols>
    <col customWidth="1" min="1" max="1" width="24.5"/>
    <col customWidth="1" min="2" max="2" width="27.5"/>
    <col customWidth="1" min="3" max="3" width="3.6640625"/>
    <col customWidth="1" min="4" max="4" width="2.83203125"/>
    <col customWidth="1" min="5" max="5" width="3.5"/>
    <col customWidth="1" min="6" max="6" width="3.83203125"/>
    <col customWidth="1" min="7" max="7" width="3.1640625"/>
  </cols>
  <sheetData>
    <row r="1" ht="14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J1" t="s">
        <v>3</v>
      </c>
      <c r="K1" t="s">
        <v>4</v>
      </c>
    </row>
    <row r="2" ht="14.25">
      <c r="A2" t="s">
        <v>5</v>
      </c>
      <c r="B2">
        <v>0</v>
      </c>
      <c r="C2" s="2" t="s">
        <v>6</v>
      </c>
      <c r="D2">
        <v>5</v>
      </c>
      <c r="E2">
        <v>4</v>
      </c>
      <c r="F2">
        <v>3</v>
      </c>
      <c r="G2">
        <v>1</v>
      </c>
      <c r="J2">
        <v>3.9230000000000001e-02</v>
      </c>
      <c r="K2">
        <v>0.13854</v>
      </c>
    </row>
    <row r="3" ht="14.25">
      <c r="A3" t="s">
        <v>7</v>
      </c>
      <c r="B3">
        <v>1</v>
      </c>
      <c r="C3" s="2" t="s">
        <v>6</v>
      </c>
      <c r="D3">
        <v>5</v>
      </c>
      <c r="E3">
        <v>4</v>
      </c>
      <c r="J3">
        <v>9.0520000000000003e-02</v>
      </c>
      <c r="K3">
        <v>0.32571</v>
      </c>
    </row>
    <row r="4" ht="14.25">
      <c r="A4" t="s">
        <v>8</v>
      </c>
      <c r="B4">
        <v>2</v>
      </c>
      <c r="C4" s="2" t="s">
        <v>6</v>
      </c>
      <c r="D4">
        <v>5</v>
      </c>
      <c r="E4">
        <v>3</v>
      </c>
      <c r="F4">
        <v>4</v>
      </c>
      <c r="G4">
        <v>0</v>
      </c>
      <c r="J4">
        <v>0.17899000000000001</v>
      </c>
      <c r="K4">
        <v>0.33459</v>
      </c>
    </row>
    <row r="5" ht="14.25">
      <c r="A5" s="3" t="s">
        <v>9</v>
      </c>
      <c r="B5">
        <v>17</v>
      </c>
      <c r="C5" s="2" t="s">
        <v>10</v>
      </c>
      <c r="D5">
        <v>1</v>
      </c>
      <c r="E5">
        <v>2</v>
      </c>
      <c r="F5">
        <v>3</v>
      </c>
      <c r="G5">
        <v>4</v>
      </c>
      <c r="J5">
        <v>0.16175999999999999</v>
      </c>
      <c r="K5">
        <v>0.33463999999999999</v>
      </c>
    </row>
    <row r="6" ht="14.25">
      <c r="A6" s="4" t="s">
        <v>11</v>
      </c>
      <c r="B6">
        <v>3</v>
      </c>
      <c r="C6" s="2" t="s">
        <v>12</v>
      </c>
      <c r="D6">
        <v>1</v>
      </c>
      <c r="E6">
        <v>3</v>
      </c>
      <c r="J6">
        <v>0.65847</v>
      </c>
      <c r="K6">
        <v>0.24379000000000001</v>
      </c>
    </row>
    <row r="7" ht="14.25">
      <c r="A7" t="s">
        <v>13</v>
      </c>
      <c r="B7">
        <v>4</v>
      </c>
      <c r="C7" s="2" t="s">
        <v>10</v>
      </c>
      <c r="D7">
        <v>1</v>
      </c>
      <c r="E7">
        <v>2</v>
      </c>
      <c r="F7">
        <v>5</v>
      </c>
      <c r="G7">
        <v>4</v>
      </c>
      <c r="J7">
        <v>0.33977000000000002</v>
      </c>
      <c r="K7">
        <v>0.16880000000000001</v>
      </c>
    </row>
    <row r="8" ht="14.25">
      <c r="A8" t="s">
        <v>14</v>
      </c>
      <c r="B8">
        <v>5</v>
      </c>
      <c r="C8" s="2" t="s">
        <v>10</v>
      </c>
      <c r="D8">
        <v>3</v>
      </c>
      <c r="E8">
        <v>4</v>
      </c>
      <c r="F8">
        <v>5</v>
      </c>
      <c r="G8">
        <v>2</v>
      </c>
      <c r="J8">
        <v>0.43087999999999999</v>
      </c>
      <c r="K8">
        <v>0.33471000000000001</v>
      </c>
    </row>
    <row r="9" ht="14.25">
      <c r="A9" t="s">
        <v>15</v>
      </c>
      <c r="B9">
        <v>6</v>
      </c>
      <c r="C9" s="2" t="s">
        <v>16</v>
      </c>
      <c r="D9">
        <v>3</v>
      </c>
      <c r="E9">
        <v>5</v>
      </c>
      <c r="F9">
        <v>1</v>
      </c>
      <c r="J9">
        <v>0.43491000000000002</v>
      </c>
      <c r="K9">
        <v>0.34478999999999999</v>
      </c>
    </row>
    <row r="10" ht="14.25">
      <c r="A10" t="s">
        <v>17</v>
      </c>
      <c r="B10">
        <v>7</v>
      </c>
      <c r="C10" s="2" t="s">
        <v>6</v>
      </c>
      <c r="D10">
        <v>5</v>
      </c>
      <c r="E10">
        <v>4</v>
      </c>
      <c r="F10">
        <v>3</v>
      </c>
      <c r="J10">
        <v>0.47566000000000003</v>
      </c>
      <c r="K10">
        <v>0.27911000000000002</v>
      </c>
    </row>
    <row r="11" ht="14.25">
      <c r="A11" t="s">
        <v>18</v>
      </c>
      <c r="B11">
        <v>8</v>
      </c>
      <c r="C11" s="2" t="s">
        <v>19</v>
      </c>
      <c r="D11">
        <v>5</v>
      </c>
      <c r="E11">
        <v>4</v>
      </c>
      <c r="F11">
        <v>3</v>
      </c>
      <c r="J11">
        <v>0.46926000000000001</v>
      </c>
      <c r="K11">
        <v>0.16669</v>
      </c>
    </row>
    <row r="12" ht="14.25">
      <c r="A12" t="s">
        <v>20</v>
      </c>
      <c r="B12">
        <v>9</v>
      </c>
      <c r="C12" s="2" t="s">
        <v>21</v>
      </c>
      <c r="D12">
        <v>1</v>
      </c>
      <c r="E12">
        <v>5</v>
      </c>
      <c r="J12">
        <v>0.51398999999999995</v>
      </c>
      <c r="K12">
        <v>0.25863000000000003</v>
      </c>
    </row>
    <row r="13" ht="14.25">
      <c r="A13" t="s">
        <v>22</v>
      </c>
      <c r="B13">
        <v>10</v>
      </c>
      <c r="C13" s="2" t="s">
        <v>12</v>
      </c>
      <c r="D13">
        <v>3</v>
      </c>
      <c r="E13">
        <v>1</v>
      </c>
      <c r="J13">
        <v>0.51914000000000005</v>
      </c>
      <c r="K13">
        <v>0.11531</v>
      </c>
    </row>
    <row r="14" ht="14.25">
      <c r="A14" t="s">
        <v>23</v>
      </c>
      <c r="B14">
        <v>11</v>
      </c>
      <c r="C14" s="2" t="s">
        <v>21</v>
      </c>
      <c r="D14">
        <v>1</v>
      </c>
      <c r="E14">
        <v>5</v>
      </c>
      <c r="F14">
        <v>4</v>
      </c>
      <c r="G14">
        <v>2</v>
      </c>
      <c r="J14">
        <v>0.53749999999999998</v>
      </c>
      <c r="K14">
        <v>0.34012999999999999</v>
      </c>
    </row>
    <row r="15" ht="14.25">
      <c r="A15" t="s">
        <v>24</v>
      </c>
      <c r="B15">
        <v>12</v>
      </c>
      <c r="C15" s="2" t="s">
        <v>21</v>
      </c>
      <c r="D15">
        <v>1</v>
      </c>
      <c r="E15">
        <v>5</v>
      </c>
      <c r="J15">
        <v>0.57999999999999996</v>
      </c>
      <c r="K15">
        <v>0.25028</v>
      </c>
    </row>
    <row r="16" ht="14.25">
      <c r="A16" t="s">
        <v>25</v>
      </c>
      <c r="B16">
        <v>13</v>
      </c>
      <c r="C16" s="2" t="s">
        <v>19</v>
      </c>
      <c r="D16">
        <v>3</v>
      </c>
      <c r="E16">
        <v>5</v>
      </c>
      <c r="F16">
        <v>0</v>
      </c>
      <c r="J16">
        <v>0.59987999999999997</v>
      </c>
      <c r="K16">
        <v>0.16758999999999999</v>
      </c>
    </row>
    <row r="17" ht="14.25">
      <c r="A17" t="s">
        <v>26</v>
      </c>
      <c r="B17">
        <v>14</v>
      </c>
      <c r="C17" s="2" t="s">
        <v>10</v>
      </c>
      <c r="D17">
        <v>5</v>
      </c>
      <c r="E17">
        <v>3</v>
      </c>
      <c r="F17">
        <v>1</v>
      </c>
      <c r="J17">
        <v>0.63961000000000001</v>
      </c>
      <c r="K17">
        <v>0.16900999999999999</v>
      </c>
    </row>
    <row r="18" ht="14.25">
      <c r="A18" t="s">
        <v>27</v>
      </c>
      <c r="B18">
        <v>15</v>
      </c>
      <c r="C18" s="2" t="s">
        <v>6</v>
      </c>
      <c r="D18">
        <v>5</v>
      </c>
      <c r="E18">
        <v>1</v>
      </c>
      <c r="F18">
        <v>3</v>
      </c>
      <c r="G18">
        <v>4</v>
      </c>
      <c r="J18">
        <v>0.70528000000000002</v>
      </c>
      <c r="K18">
        <v>0.33189999999999997</v>
      </c>
    </row>
    <row r="19" ht="14.25">
      <c r="A19" t="s">
        <v>28</v>
      </c>
      <c r="B19">
        <v>16</v>
      </c>
      <c r="C19" s="2" t="s">
        <v>19</v>
      </c>
      <c r="D19">
        <v>3</v>
      </c>
      <c r="J19">
        <v>0.55537999999999998</v>
      </c>
      <c r="K19">
        <v>0.64825999999999995</v>
      </c>
    </row>
    <row r="20" ht="14.25">
      <c r="A20" t="s">
        <v>29</v>
      </c>
      <c r="B20">
        <v>17</v>
      </c>
      <c r="C20" s="2" t="s">
        <v>12</v>
      </c>
      <c r="J20">
        <v>0.58709</v>
      </c>
      <c r="K20">
        <v>0.37885999999999997</v>
      </c>
    </row>
    <row r="21" ht="14.25">
      <c r="A21" t="s">
        <v>30</v>
      </c>
      <c r="B21">
        <v>18</v>
      </c>
      <c r="C21" s="2" t="s">
        <v>16</v>
      </c>
      <c r="D21">
        <v>3</v>
      </c>
      <c r="E21">
        <v>2</v>
      </c>
      <c r="F21">
        <v>1</v>
      </c>
      <c r="J21">
        <v>0.67684</v>
      </c>
      <c r="K21">
        <v>0.37674000000000002</v>
      </c>
    </row>
    <row r="22" ht="14.25">
      <c r="A22" t="s">
        <v>31</v>
      </c>
      <c r="B22">
        <v>19</v>
      </c>
      <c r="C22" s="2" t="s">
        <v>16</v>
      </c>
      <c r="D22">
        <v>5</v>
      </c>
      <c r="E22">
        <v>3</v>
      </c>
      <c r="F22">
        <v>1</v>
      </c>
      <c r="J22">
        <v>0.70459000000000005</v>
      </c>
      <c r="K22">
        <v>0.69291000000000003</v>
      </c>
    </row>
    <row r="23" ht="14.25">
      <c r="A23" s="3" t="s">
        <v>32</v>
      </c>
      <c r="B23">
        <v>20</v>
      </c>
      <c r="C23" s="2" t="s">
        <v>33</v>
      </c>
      <c r="H23" s="3"/>
      <c r="J23">
        <v>0.73011000000000004</v>
      </c>
      <c r="K23">
        <v>0.39116000000000001</v>
      </c>
    </row>
    <row r="24" ht="14.25">
      <c r="A24" s="3" t="s">
        <v>34</v>
      </c>
      <c r="B24">
        <v>20</v>
      </c>
      <c r="C24" s="2" t="s">
        <v>10</v>
      </c>
      <c r="D24">
        <v>1</v>
      </c>
      <c r="E24">
        <v>2</v>
      </c>
      <c r="F24">
        <v>3</v>
      </c>
      <c r="H24" s="3"/>
      <c r="J24">
        <v>0.38264999999999999</v>
      </c>
      <c r="K24">
        <v>0.55698000000000003</v>
      </c>
    </row>
    <row r="25" ht="14.25">
      <c r="A25" t="s">
        <v>35</v>
      </c>
      <c r="B25">
        <v>21</v>
      </c>
      <c r="C25" s="2" t="s">
        <v>19</v>
      </c>
      <c r="D25">
        <v>0</v>
      </c>
      <c r="E25">
        <v>3</v>
      </c>
      <c r="F25">
        <v>4</v>
      </c>
      <c r="G25">
        <v>5</v>
      </c>
      <c r="J25">
        <v>0.80769000000000002</v>
      </c>
      <c r="K25">
        <v>0.75890000000000002</v>
      </c>
    </row>
    <row r="26" ht="14.25">
      <c r="A26" t="s">
        <v>36</v>
      </c>
      <c r="B26">
        <v>22</v>
      </c>
      <c r="C26" s="2" t="s">
        <v>10</v>
      </c>
      <c r="D26">
        <v>1</v>
      </c>
      <c r="E26">
        <v>2</v>
      </c>
      <c r="F26">
        <v>3</v>
      </c>
      <c r="G26">
        <v>4</v>
      </c>
      <c r="J26">
        <v>0.68279000000000001</v>
      </c>
      <c r="K26">
        <v>0.78771000000000002</v>
      </c>
    </row>
    <row r="27" ht="14.25">
      <c r="A27" t="s">
        <v>37</v>
      </c>
      <c r="B27">
        <v>23</v>
      </c>
      <c r="C27" s="2" t="s">
        <v>10</v>
      </c>
      <c r="D27">
        <v>1</v>
      </c>
      <c r="E27">
        <v>2</v>
      </c>
      <c r="H27" s="3"/>
      <c r="J27">
        <v>0.17046</v>
      </c>
      <c r="K27">
        <v>0.18894</v>
      </c>
    </row>
    <row r="28">
      <c r="C28" s="2"/>
    </row>
    <row r="29">
      <c r="C29" s="2"/>
    </row>
  </sheetData>
  <printOptions headings="0" gridLines="0"/>
  <pageMargins left="0.75" right="0.75" top="1" bottom="1" header="0.5" footer="0.5"/>
  <pageSetup paperSize="9" scale="100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5" activeCellId="0" sqref="A15"/>
    </sheetView>
  </sheetViews>
  <sheetFormatPr defaultColWidth="14.5" defaultRowHeight="13" customHeight="1"/>
  <cols>
    <col customWidth="1" min="2" max="2" width="19.33203125"/>
    <col customWidth="1" min="3" max="3" width="38.6640625"/>
  </cols>
  <sheetData>
    <row r="1">
      <c r="A1" s="1" t="s">
        <v>38</v>
      </c>
      <c r="B1" s="1" t="s">
        <v>39</v>
      </c>
      <c r="C1" s="1" t="s">
        <v>40</v>
      </c>
      <c r="D1" s="1" t="s">
        <v>41</v>
      </c>
    </row>
    <row r="2">
      <c r="A2">
        <v>1</v>
      </c>
      <c r="B2">
        <v>2</v>
      </c>
      <c r="C2" t="s">
        <v>42</v>
      </c>
    </row>
    <row r="3">
      <c r="A3">
        <v>2</v>
      </c>
      <c r="B3">
        <v>5</v>
      </c>
      <c r="C3" t="s">
        <v>43</v>
      </c>
    </row>
    <row r="4">
      <c r="A4">
        <v>3</v>
      </c>
      <c r="B4">
        <v>17</v>
      </c>
      <c r="C4" t="s">
        <v>44</v>
      </c>
    </row>
    <row r="5">
      <c r="A5">
        <v>4</v>
      </c>
      <c r="C5" t="s">
        <v>45</v>
      </c>
    </row>
    <row r="6">
      <c r="A6">
        <v>5</v>
      </c>
      <c r="B6">
        <v>20</v>
      </c>
      <c r="C6" t="s">
        <v>46</v>
      </c>
    </row>
    <row r="7">
      <c r="A7">
        <v>6</v>
      </c>
      <c r="C7" t="s">
        <v>45</v>
      </c>
    </row>
    <row r="8">
      <c r="A8">
        <v>7</v>
      </c>
      <c r="C8" t="s">
        <v>47</v>
      </c>
    </row>
    <row r="9">
      <c r="A9">
        <v>8</v>
      </c>
      <c r="B9">
        <v>10</v>
      </c>
      <c r="C9" t="s">
        <v>48</v>
      </c>
    </row>
    <row r="10">
      <c r="A10">
        <v>9</v>
      </c>
    </row>
    <row r="11">
      <c r="A11">
        <v>10</v>
      </c>
      <c r="B11">
        <v>19</v>
      </c>
      <c r="C11" t="s">
        <v>49</v>
      </c>
    </row>
    <row r="12">
      <c r="A12">
        <v>11</v>
      </c>
      <c r="B12">
        <v>12</v>
      </c>
      <c r="C12" t="s">
        <v>50</v>
      </c>
    </row>
    <row r="13">
      <c r="A13">
        <v>12</v>
      </c>
      <c r="B13">
        <v>13</v>
      </c>
      <c r="C13" t="s">
        <v>51</v>
      </c>
      <c r="E13">
        <f>VALUE(J25)*256+VALUE(K25)</f>
        <v>0</v>
      </c>
    </row>
    <row r="14">
      <c r="A14">
        <v>13</v>
      </c>
      <c r="C14" t="s">
        <v>52</v>
      </c>
    </row>
    <row r="15">
      <c r="A15">
        <v>14</v>
      </c>
      <c r="C15" t="s">
        <v>53</v>
      </c>
    </row>
    <row r="16">
      <c r="A16">
        <v>15</v>
      </c>
    </row>
    <row r="17">
      <c r="A17">
        <v>16</v>
      </c>
      <c r="B17">
        <v>21</v>
      </c>
      <c r="C17" t="s">
        <v>54</v>
      </c>
    </row>
    <row r="18">
      <c r="A18">
        <v>17</v>
      </c>
      <c r="B18">
        <v>18</v>
      </c>
      <c r="C18" t="s">
        <v>55</v>
      </c>
    </row>
    <row r="19">
      <c r="A19">
        <v>18</v>
      </c>
      <c r="B19">
        <v>22</v>
      </c>
      <c r="C19" t="s">
        <v>56</v>
      </c>
    </row>
    <row r="20">
      <c r="A20">
        <v>19</v>
      </c>
      <c r="B20" t="s">
        <v>57</v>
      </c>
      <c r="C20" t="s">
        <v>58</v>
      </c>
    </row>
    <row r="21">
      <c r="A21">
        <v>20</v>
      </c>
      <c r="B21">
        <v>16</v>
      </c>
      <c r="C21" t="s">
        <v>59</v>
      </c>
    </row>
    <row r="22">
      <c r="A22">
        <v>21</v>
      </c>
      <c r="B22" t="s">
        <v>57</v>
      </c>
      <c r="C22" t="s">
        <v>60</v>
      </c>
    </row>
    <row r="23">
      <c r="A23">
        <v>22</v>
      </c>
      <c r="B23">
        <v>14</v>
      </c>
      <c r="C23" t="s">
        <v>61</v>
      </c>
      <c r="D23" t="s">
        <v>62</v>
      </c>
    </row>
    <row r="24">
      <c r="A24">
        <v>23</v>
      </c>
    </row>
    <row r="25">
      <c r="A25">
        <v>24</v>
      </c>
      <c r="B25">
        <v>23</v>
      </c>
      <c r="C25" t="s">
        <v>63</v>
      </c>
    </row>
  </sheetData>
  <printOptions headings="0" gridLines="0"/>
  <pageMargins left="0.75" right="0.75" top="1" bottom="1" header="0.5" footer="0.5"/>
  <pageSetup paperSize="9" scale="100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D73" activeCellId="0" sqref="D73"/>
    </sheetView>
  </sheetViews>
  <sheetFormatPr defaultColWidth="14.5" defaultRowHeight="12.75" customHeight="1"/>
  <cols>
    <col customWidth="1" min="1" max="1" width="42.6640625"/>
    <col customWidth="1" min="5" max="5" width="21.140625"/>
    <col customWidth="1" min="6" max="6" width="4.83203125"/>
    <col customWidth="1" min="7" max="7" width="17.1640625"/>
    <col customWidth="1" min="8" max="8" width="3.5"/>
    <col customWidth="1" min="9" max="9" width="17"/>
    <col customWidth="1" min="10" max="10" width="4.83203125"/>
    <col customWidth="1" min="11" max="11" width="24.5"/>
    <col customWidth="1" min="12" max="12" width="18.33203125"/>
  </cols>
  <sheetData>
    <row r="1" ht="14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t="s">
        <v>3</v>
      </c>
      <c r="M1" t="s">
        <v>4</v>
      </c>
    </row>
    <row r="2" ht="14.25">
      <c r="A2" t="s">
        <v>75</v>
      </c>
      <c r="B2" t="s">
        <v>5</v>
      </c>
      <c r="C2">
        <v>1</v>
      </c>
      <c r="D2" s="5">
        <v>0</v>
      </c>
      <c r="E2" t="s">
        <v>5</v>
      </c>
      <c r="F2" s="6">
        <v>2</v>
      </c>
      <c r="H2" s="6"/>
      <c r="J2" s="6"/>
      <c r="L2">
        <v>0.58901999999999999</v>
      </c>
      <c r="M2">
        <v>0.36160999999999999</v>
      </c>
    </row>
    <row r="3" ht="14.25">
      <c r="A3" s="5" t="s">
        <v>76</v>
      </c>
      <c r="B3" t="s">
        <v>28</v>
      </c>
      <c r="C3">
        <v>1</v>
      </c>
      <c r="D3">
        <v>1</v>
      </c>
      <c r="E3" t="s">
        <v>28</v>
      </c>
      <c r="F3" s="6">
        <v>0</v>
      </c>
      <c r="G3" t="s">
        <v>34</v>
      </c>
      <c r="H3" s="6">
        <v>3</v>
      </c>
      <c r="J3" s="6"/>
      <c r="L3">
        <v>0.48154999999999998</v>
      </c>
      <c r="M3">
        <v>0.50551999999999997</v>
      </c>
    </row>
    <row r="4" ht="14.25">
      <c r="A4" s="5" t="s">
        <v>77</v>
      </c>
      <c r="B4" t="s">
        <v>78</v>
      </c>
      <c r="C4">
        <v>1</v>
      </c>
      <c r="D4">
        <v>2</v>
      </c>
      <c r="E4" t="s">
        <v>9</v>
      </c>
      <c r="F4" s="6">
        <v>2</v>
      </c>
      <c r="G4" s="5" t="s">
        <v>14</v>
      </c>
      <c r="H4" s="6">
        <v>4</v>
      </c>
      <c r="J4" s="6"/>
      <c r="L4">
        <v>0.43214999999999998</v>
      </c>
      <c r="M4">
        <v>0.46788000000000002</v>
      </c>
    </row>
    <row r="5" ht="14.25">
      <c r="A5" t="s">
        <v>79</v>
      </c>
      <c r="B5" t="s">
        <v>80</v>
      </c>
      <c r="C5">
        <v>1</v>
      </c>
      <c r="D5">
        <v>3</v>
      </c>
      <c r="E5" t="s">
        <v>8</v>
      </c>
      <c r="F5" s="6">
        <v>2</v>
      </c>
      <c r="H5" s="6"/>
      <c r="J5" s="6"/>
      <c r="L5">
        <v>0.42725000000000002</v>
      </c>
      <c r="M5">
        <v>0.48459000000000002</v>
      </c>
    </row>
    <row r="6" ht="14.25">
      <c r="B6" t="s">
        <v>45</v>
      </c>
      <c r="C6">
        <v>1</v>
      </c>
      <c r="D6">
        <v>4</v>
      </c>
      <c r="F6" s="6"/>
      <c r="H6" s="6"/>
      <c r="J6" s="6"/>
      <c r="L6">
        <v>0.40839999999999999</v>
      </c>
      <c r="M6">
        <v>0.42025000000000001</v>
      </c>
    </row>
    <row r="7" ht="14.25">
      <c r="A7" t="s">
        <v>81</v>
      </c>
      <c r="B7" t="s">
        <v>78</v>
      </c>
      <c r="C7">
        <v>1</v>
      </c>
      <c r="D7">
        <v>5</v>
      </c>
      <c r="E7" t="s">
        <v>9</v>
      </c>
      <c r="F7" s="6">
        <v>3</v>
      </c>
      <c r="G7" s="5" t="s">
        <v>14</v>
      </c>
      <c r="H7" s="6">
        <v>3</v>
      </c>
      <c r="J7" s="6"/>
      <c r="L7">
        <v>0.44075999999999999</v>
      </c>
      <c r="M7">
        <v>0.53415999999999997</v>
      </c>
    </row>
    <row r="8" ht="14.25">
      <c r="A8" t="s">
        <v>82</v>
      </c>
      <c r="B8" t="s">
        <v>83</v>
      </c>
      <c r="C8">
        <v>1</v>
      </c>
      <c r="D8" s="5">
        <v>6</v>
      </c>
      <c r="E8" t="s">
        <v>18</v>
      </c>
      <c r="F8" s="6">
        <v>3</v>
      </c>
      <c r="G8" t="s">
        <v>20</v>
      </c>
      <c r="H8" s="6">
        <v>1</v>
      </c>
      <c r="J8" s="6"/>
      <c r="L8">
        <v>0.62004000000000004</v>
      </c>
      <c r="M8">
        <v>0.16019</v>
      </c>
    </row>
    <row r="9" ht="14.25">
      <c r="A9" t="s">
        <v>84</v>
      </c>
      <c r="B9" t="s">
        <v>85</v>
      </c>
      <c r="C9">
        <v>1</v>
      </c>
      <c r="D9">
        <v>7</v>
      </c>
      <c r="E9" t="s">
        <v>22</v>
      </c>
      <c r="F9" s="6">
        <v>2</v>
      </c>
      <c r="G9"/>
      <c r="H9" s="6"/>
      <c r="I9"/>
      <c r="J9" s="6"/>
      <c r="K9"/>
      <c r="L9">
        <v>0.63222</v>
      </c>
      <c r="M9">
        <v>0.19474</v>
      </c>
    </row>
    <row r="10" ht="14.25">
      <c r="A10" t="s">
        <v>86</v>
      </c>
      <c r="B10" t="s">
        <v>28</v>
      </c>
      <c r="C10">
        <v>1</v>
      </c>
      <c r="D10">
        <v>8</v>
      </c>
      <c r="E10" t="s">
        <v>28</v>
      </c>
      <c r="F10" s="6">
        <v>1</v>
      </c>
      <c r="G10"/>
      <c r="H10" s="6"/>
      <c r="I10"/>
      <c r="J10" s="6"/>
      <c r="K10"/>
      <c r="L10">
        <v>0.63210999999999995</v>
      </c>
      <c r="M10">
        <v>0.22781999999999999</v>
      </c>
    </row>
    <row r="11" ht="14.25">
      <c r="A11" s="5"/>
      <c r="B11" t="s">
        <v>45</v>
      </c>
      <c r="C11">
        <v>1</v>
      </c>
      <c r="D11">
        <v>9</v>
      </c>
      <c r="F11" s="6"/>
      <c r="G11" s="5"/>
      <c r="H11" s="6"/>
      <c r="J11" s="6"/>
      <c r="L11">
        <v>0.60157000000000005</v>
      </c>
      <c r="M11">
        <v>0.23466999999999999</v>
      </c>
    </row>
    <row r="12" ht="14.25">
      <c r="A12"/>
      <c r="B12" t="s">
        <v>45</v>
      </c>
      <c r="C12">
        <v>1</v>
      </c>
      <c r="D12">
        <v>10</v>
      </c>
      <c r="F12" s="6"/>
      <c r="H12" s="6"/>
      <c r="J12" s="6"/>
      <c r="L12">
        <v>0.54774999999999996</v>
      </c>
      <c r="M12">
        <v>0.23688000000000001</v>
      </c>
    </row>
    <row r="13" ht="14.25">
      <c r="A13" t="s">
        <v>87</v>
      </c>
      <c r="B13" t="s">
        <v>5</v>
      </c>
      <c r="C13">
        <v>1</v>
      </c>
      <c r="D13">
        <v>11</v>
      </c>
      <c r="F13" s="6"/>
      <c r="H13" s="6"/>
      <c r="J13" s="6"/>
      <c r="L13">
        <v>0.56708000000000003</v>
      </c>
      <c r="M13">
        <v>0.23660999999999999</v>
      </c>
    </row>
    <row r="14" ht="14.25">
      <c r="A14" s="5"/>
      <c r="B14" s="5" t="s">
        <v>45</v>
      </c>
      <c r="C14" s="5">
        <v>1</v>
      </c>
      <c r="D14" s="5">
        <v>12</v>
      </c>
      <c r="F14" s="6"/>
      <c r="H14" s="6"/>
      <c r="J14" s="6"/>
      <c r="L14">
        <v>0.59458999999999995</v>
      </c>
      <c r="M14">
        <v>0.19509000000000001</v>
      </c>
    </row>
    <row r="15" ht="14.25">
      <c r="A15" s="5" t="s">
        <v>88</v>
      </c>
      <c r="B15" t="s">
        <v>89</v>
      </c>
      <c r="C15">
        <v>1</v>
      </c>
      <c r="D15">
        <v>13</v>
      </c>
      <c r="E15" t="s">
        <v>29</v>
      </c>
      <c r="F15" s="6">
        <v>0</v>
      </c>
      <c r="H15" s="6"/>
      <c r="J15" s="6"/>
      <c r="K15"/>
      <c r="L15">
        <v>0.55215999999999998</v>
      </c>
      <c r="M15">
        <v>0.12053</v>
      </c>
    </row>
    <row r="16" ht="14.25">
      <c r="A16" t="s">
        <v>90</v>
      </c>
      <c r="B16" t="s">
        <v>78</v>
      </c>
      <c r="C16">
        <v>1</v>
      </c>
      <c r="D16">
        <v>14</v>
      </c>
      <c r="E16" t="s">
        <v>23</v>
      </c>
      <c r="F16" s="6">
        <v>2</v>
      </c>
      <c r="H16" s="6"/>
      <c r="J16" s="6"/>
      <c r="K16"/>
      <c r="L16">
        <v>0.67428999999999994</v>
      </c>
      <c r="M16">
        <v>0.23644999999999999</v>
      </c>
    </row>
    <row r="17" ht="14.25">
      <c r="A17" t="s">
        <v>91</v>
      </c>
      <c r="B17" t="s">
        <v>78</v>
      </c>
      <c r="C17">
        <v>1</v>
      </c>
      <c r="D17">
        <v>15</v>
      </c>
      <c r="E17" t="s">
        <v>27</v>
      </c>
      <c r="F17" s="6">
        <v>4</v>
      </c>
      <c r="H17" s="6"/>
      <c r="J17" s="6"/>
      <c r="K17"/>
      <c r="L17">
        <v>0.69391000000000003</v>
      </c>
      <c r="M17">
        <v>0.23685</v>
      </c>
    </row>
    <row r="18" ht="14.25">
      <c r="A18" t="s">
        <v>92</v>
      </c>
      <c r="B18" t="s">
        <v>78</v>
      </c>
      <c r="C18">
        <v>1</v>
      </c>
      <c r="D18">
        <v>16</v>
      </c>
      <c r="E18" t="s">
        <v>23</v>
      </c>
      <c r="F18" s="6">
        <v>3</v>
      </c>
      <c r="G18" s="5"/>
      <c r="H18" s="6"/>
      <c r="I18" s="5"/>
      <c r="J18" s="6"/>
      <c r="L18">
        <v>0.68828999999999996</v>
      </c>
      <c r="M18">
        <v>0.12043</v>
      </c>
    </row>
    <row r="19" ht="14.25">
      <c r="A19" t="s">
        <v>93</v>
      </c>
      <c r="B19" s="5" t="s">
        <v>94</v>
      </c>
      <c r="C19">
        <v>1</v>
      </c>
      <c r="D19">
        <v>17</v>
      </c>
      <c r="E19" t="s">
        <v>25</v>
      </c>
      <c r="F19" s="6">
        <v>0</v>
      </c>
      <c r="G19" t="s">
        <v>26</v>
      </c>
      <c r="H19" s="6">
        <v>0</v>
      </c>
      <c r="J19" s="6"/>
      <c r="L19">
        <v>0.64761999999999997</v>
      </c>
      <c r="M19">
        <v>0.19464999999999999</v>
      </c>
    </row>
    <row r="20" ht="14.25">
      <c r="A20" s="3" t="s">
        <v>95</v>
      </c>
      <c r="B20" s="5" t="s">
        <v>85</v>
      </c>
      <c r="C20" s="5">
        <v>1</v>
      </c>
      <c r="D20" s="5">
        <v>18</v>
      </c>
      <c r="E20" t="s">
        <v>22</v>
      </c>
      <c r="F20" s="6">
        <v>1</v>
      </c>
      <c r="G20" s="5"/>
      <c r="H20" s="6"/>
      <c r="I20" s="5"/>
      <c r="J20" s="6"/>
      <c r="K20" s="5"/>
      <c r="L20">
        <v>0.56196999999999997</v>
      </c>
      <c r="M20">
        <v>0.65500000000000003</v>
      </c>
    </row>
    <row r="21" ht="14.25">
      <c r="A21" t="s">
        <v>96</v>
      </c>
      <c r="B21" t="s">
        <v>78</v>
      </c>
      <c r="C21">
        <v>1</v>
      </c>
      <c r="D21">
        <v>19</v>
      </c>
      <c r="E21" t="s">
        <v>18</v>
      </c>
      <c r="F21" s="6">
        <v>2</v>
      </c>
      <c r="H21" s="6"/>
      <c r="J21" s="6"/>
      <c r="L21">
        <v>0.58062000000000002</v>
      </c>
      <c r="M21">
        <v>0.70708000000000004</v>
      </c>
    </row>
    <row r="22" ht="14.25">
      <c r="A22" s="5" t="s">
        <v>97</v>
      </c>
      <c r="B22" t="s">
        <v>5</v>
      </c>
      <c r="C22">
        <v>1</v>
      </c>
      <c r="D22">
        <v>20</v>
      </c>
      <c r="E22" t="s">
        <v>5</v>
      </c>
      <c r="F22" s="6">
        <v>0</v>
      </c>
      <c r="H22" s="6"/>
      <c r="J22" s="6"/>
      <c r="K22" s="5"/>
      <c r="L22">
        <v>0.68398000000000003</v>
      </c>
      <c r="M22">
        <v>0.28319</v>
      </c>
    </row>
    <row r="23" ht="14.25">
      <c r="A23" t="s">
        <v>98</v>
      </c>
      <c r="B23" t="s">
        <v>78</v>
      </c>
      <c r="C23">
        <v>1</v>
      </c>
      <c r="D23">
        <v>21</v>
      </c>
      <c r="E23" t="s">
        <v>14</v>
      </c>
      <c r="F23" s="6">
        <v>2</v>
      </c>
      <c r="G23" t="s">
        <v>8</v>
      </c>
      <c r="H23" s="6">
        <v>3</v>
      </c>
      <c r="J23" s="6"/>
      <c r="K23"/>
      <c r="L23">
        <v>0.70506000000000002</v>
      </c>
      <c r="M23">
        <v>0.34722999999999998</v>
      </c>
    </row>
    <row r="24" ht="14.25">
      <c r="A24" t="s">
        <v>99</v>
      </c>
      <c r="B24" t="s">
        <v>78</v>
      </c>
      <c r="C24">
        <v>1</v>
      </c>
      <c r="D24">
        <v>22</v>
      </c>
      <c r="E24" t="s">
        <v>27</v>
      </c>
      <c r="F24" s="6">
        <v>3</v>
      </c>
      <c r="G24" t="s">
        <v>20</v>
      </c>
      <c r="H24">
        <v>2</v>
      </c>
      <c r="J24" s="6"/>
      <c r="K24"/>
      <c r="L24">
        <v>0.69527000000000005</v>
      </c>
      <c r="M24">
        <v>0.35837000000000002</v>
      </c>
    </row>
    <row r="25" ht="14.25">
      <c r="A25" s="3" t="s">
        <v>100</v>
      </c>
      <c r="B25" s="3" t="s">
        <v>101</v>
      </c>
      <c r="C25">
        <v>1</v>
      </c>
      <c r="D25">
        <v>25</v>
      </c>
      <c r="E25" t="s">
        <v>31</v>
      </c>
      <c r="F25" s="6">
        <v>2</v>
      </c>
      <c r="G25" t="s">
        <v>30</v>
      </c>
      <c r="H25" s="6">
        <v>3</v>
      </c>
      <c r="I25"/>
      <c r="J25" s="6"/>
      <c r="K25" s="5"/>
      <c r="L25">
        <v>0.75434999999999997</v>
      </c>
      <c r="M25">
        <v>0.32253999999999999</v>
      </c>
    </row>
    <row r="26" ht="14.25">
      <c r="A26" t="s">
        <v>102</v>
      </c>
      <c r="B26" s="5" t="s">
        <v>103</v>
      </c>
      <c r="C26">
        <v>1</v>
      </c>
      <c r="D26">
        <v>26</v>
      </c>
      <c r="E26" t="s">
        <v>35</v>
      </c>
      <c r="F26" s="6">
        <v>4</v>
      </c>
      <c r="H26" s="7"/>
      <c r="J26" s="6"/>
      <c r="L26">
        <v>0.69840000000000002</v>
      </c>
      <c r="M26">
        <v>9.9320000000000006e-02</v>
      </c>
    </row>
    <row r="27" ht="14.25">
      <c r="B27" s="5" t="s">
        <v>45</v>
      </c>
      <c r="C27">
        <v>1</v>
      </c>
      <c r="D27">
        <v>27</v>
      </c>
      <c r="F27" s="2"/>
      <c r="G27" s="5"/>
      <c r="H27" s="2"/>
      <c r="J27" s="2"/>
      <c r="L27">
        <v>0.86787999999999998</v>
      </c>
      <c r="M27">
        <v>0.17272999999999999</v>
      </c>
    </row>
    <row r="28" ht="14.25">
      <c r="A28" t="s">
        <v>104</v>
      </c>
      <c r="B28" t="s">
        <v>105</v>
      </c>
      <c r="C28">
        <v>1</v>
      </c>
      <c r="D28">
        <v>28</v>
      </c>
      <c r="E28" t="s">
        <v>32</v>
      </c>
      <c r="F28">
        <v>0</v>
      </c>
      <c r="H28" s="2"/>
      <c r="J28" s="2"/>
      <c r="L28">
        <v>0.71323000000000003</v>
      </c>
      <c r="M28">
        <v>0.26358999999999999</v>
      </c>
    </row>
    <row r="29" ht="14.25">
      <c r="A29" t="s">
        <v>106</v>
      </c>
      <c r="B29" t="s">
        <v>94</v>
      </c>
      <c r="C29">
        <v>1</v>
      </c>
      <c r="D29">
        <v>29</v>
      </c>
      <c r="E29" t="s">
        <v>25</v>
      </c>
      <c r="F29" s="6">
        <v>2</v>
      </c>
      <c r="G29" s="5" t="s">
        <v>26</v>
      </c>
      <c r="H29" s="6">
        <v>2</v>
      </c>
      <c r="I29" s="5"/>
      <c r="J29" s="6"/>
      <c r="K29" s="5"/>
      <c r="L29">
        <v>0.45640999999999998</v>
      </c>
      <c r="M29">
        <v>0.17882000000000001</v>
      </c>
    </row>
    <row r="30" ht="14.25">
      <c r="A30" s="3" t="s">
        <v>107</v>
      </c>
      <c r="B30" t="s">
        <v>78</v>
      </c>
      <c r="C30">
        <v>1</v>
      </c>
      <c r="D30">
        <v>30</v>
      </c>
      <c r="F30" s="6"/>
      <c r="H30" s="6"/>
      <c r="J30" s="6"/>
      <c r="L30">
        <v>0.45640999999999998</v>
      </c>
      <c r="M30">
        <v>0.26061000000000001</v>
      </c>
    </row>
    <row r="31" ht="14.25">
      <c r="B31" s="3" t="s">
        <v>45</v>
      </c>
      <c r="C31">
        <v>1</v>
      </c>
      <c r="D31">
        <v>31</v>
      </c>
      <c r="F31" s="2"/>
      <c r="G31" s="5"/>
      <c r="H31" s="2"/>
      <c r="J31" s="2"/>
      <c r="L31">
        <v>0.49059000000000003</v>
      </c>
      <c r="M31">
        <v>0.28903000000000001</v>
      </c>
    </row>
    <row r="32" ht="14.25">
      <c r="A32" t="s">
        <v>108</v>
      </c>
      <c r="B32" t="s">
        <v>103</v>
      </c>
      <c r="C32">
        <v>2</v>
      </c>
      <c r="D32">
        <v>0</v>
      </c>
      <c r="E32" t="s">
        <v>31</v>
      </c>
      <c r="F32" s="6">
        <v>0</v>
      </c>
      <c r="G32" t="s">
        <v>30</v>
      </c>
      <c r="H32" s="6">
        <v>1</v>
      </c>
      <c r="I32" t="s">
        <v>36</v>
      </c>
      <c r="J32" s="6">
        <v>4</v>
      </c>
      <c r="K32" s="8"/>
      <c r="L32">
        <v>0.51468999999999998</v>
      </c>
      <c r="M32">
        <v>0.28909000000000001</v>
      </c>
    </row>
    <row r="33" ht="14.25">
      <c r="A33" s="5" t="s">
        <v>109</v>
      </c>
      <c r="B33" t="s">
        <v>78</v>
      </c>
      <c r="C33">
        <v>2</v>
      </c>
      <c r="D33">
        <v>1</v>
      </c>
      <c r="E33" t="s">
        <v>14</v>
      </c>
      <c r="F33" s="6">
        <v>0</v>
      </c>
      <c r="H33" s="6"/>
      <c r="J33" s="6"/>
      <c r="L33">
        <v>0.62787999999999999</v>
      </c>
      <c r="M33">
        <v>0.28894999999999998</v>
      </c>
    </row>
    <row r="34" ht="14.25">
      <c r="A34" t="s">
        <v>110</v>
      </c>
      <c r="B34" t="s">
        <v>103</v>
      </c>
      <c r="C34">
        <v>2</v>
      </c>
      <c r="D34">
        <v>2</v>
      </c>
      <c r="E34" t="s">
        <v>36</v>
      </c>
      <c r="F34" s="6">
        <v>3</v>
      </c>
      <c r="G34" t="s">
        <v>35</v>
      </c>
      <c r="H34" s="6">
        <v>1</v>
      </c>
      <c r="J34" s="6"/>
      <c r="L34">
        <v>0.60936000000000001</v>
      </c>
      <c r="M34" s="2">
        <v>0.28924</v>
      </c>
    </row>
    <row r="35" ht="14.25">
      <c r="A35" t="s">
        <v>111</v>
      </c>
      <c r="B35" s="5" t="s">
        <v>78</v>
      </c>
      <c r="C35">
        <v>2</v>
      </c>
      <c r="D35">
        <v>3</v>
      </c>
      <c r="E35" t="s">
        <v>23</v>
      </c>
      <c r="F35" s="6">
        <v>2</v>
      </c>
      <c r="H35" s="6"/>
      <c r="J35" s="6"/>
      <c r="L35">
        <v>0.37280999999999997</v>
      </c>
      <c r="M35">
        <v>0.17779</v>
      </c>
    </row>
    <row r="36" ht="14.25">
      <c r="A36" s="3" t="s">
        <v>112</v>
      </c>
      <c r="B36" s="5" t="s">
        <v>112</v>
      </c>
      <c r="C36">
        <v>2</v>
      </c>
      <c r="D36">
        <v>4</v>
      </c>
      <c r="E36" t="s">
        <v>23</v>
      </c>
      <c r="F36" s="6">
        <v>0</v>
      </c>
      <c r="H36" s="6"/>
      <c r="J36" s="6"/>
      <c r="L36">
        <v>0.30882999999999999</v>
      </c>
      <c r="M36">
        <v>0.15254000000000001</v>
      </c>
    </row>
    <row r="37" ht="14.25">
      <c r="A37" s="3" t="s">
        <v>113</v>
      </c>
      <c r="B37" s="5" t="s">
        <v>103</v>
      </c>
      <c r="C37">
        <v>2</v>
      </c>
      <c r="D37">
        <v>5</v>
      </c>
      <c r="E37" t="s">
        <v>36</v>
      </c>
      <c r="F37" s="6">
        <v>1</v>
      </c>
      <c r="G37" t="s">
        <v>35</v>
      </c>
      <c r="H37" s="6">
        <v>3</v>
      </c>
      <c r="J37" s="6"/>
      <c r="L37">
        <v>0.34860000000000002</v>
      </c>
      <c r="M37">
        <v>0.26107000000000002</v>
      </c>
    </row>
    <row r="38" ht="14.25">
      <c r="A38" t="s">
        <v>114</v>
      </c>
      <c r="B38" t="s">
        <v>115</v>
      </c>
      <c r="C38">
        <v>2</v>
      </c>
      <c r="D38">
        <v>6</v>
      </c>
      <c r="E38" t="s">
        <v>15</v>
      </c>
      <c r="F38" s="6">
        <v>0</v>
      </c>
      <c r="G38" s="5" t="s">
        <v>34</v>
      </c>
      <c r="H38" s="6">
        <v>1</v>
      </c>
      <c r="J38" s="6"/>
      <c r="L38">
        <v>0.35361999999999999</v>
      </c>
      <c r="M38">
        <v>0.26114999999999999</v>
      </c>
    </row>
    <row r="39" ht="14.25">
      <c r="A39" t="s">
        <v>23</v>
      </c>
      <c r="B39" t="s">
        <v>23</v>
      </c>
      <c r="C39">
        <v>2</v>
      </c>
      <c r="D39">
        <v>8</v>
      </c>
      <c r="E39" t="s">
        <v>23</v>
      </c>
      <c r="F39" s="6">
        <v>1</v>
      </c>
      <c r="H39" s="6"/>
      <c r="J39" s="6"/>
      <c r="L39">
        <v>0.42529</v>
      </c>
      <c r="M39">
        <v>0.26057999999999998</v>
      </c>
    </row>
    <row r="40" ht="14.25">
      <c r="A40" t="s">
        <v>116</v>
      </c>
      <c r="B40" s="3" t="s">
        <v>103</v>
      </c>
      <c r="C40">
        <v>2</v>
      </c>
      <c r="D40">
        <v>9</v>
      </c>
      <c r="E40" t="s">
        <v>36</v>
      </c>
      <c r="F40" s="6">
        <v>2</v>
      </c>
      <c r="G40" t="s">
        <v>35</v>
      </c>
      <c r="H40" s="6">
        <v>2</v>
      </c>
      <c r="J40" s="6"/>
      <c r="K40" s="5"/>
      <c r="L40">
        <v>0.41621999999999998</v>
      </c>
      <c r="M40">
        <v>0.26050000000000001</v>
      </c>
    </row>
    <row r="41" ht="14.25">
      <c r="A41" t="s">
        <v>117</v>
      </c>
      <c r="B41" t="s">
        <v>103</v>
      </c>
      <c r="C41">
        <v>2</v>
      </c>
      <c r="D41">
        <v>10</v>
      </c>
      <c r="E41" t="s">
        <v>36</v>
      </c>
      <c r="F41" s="6">
        <v>2</v>
      </c>
      <c r="G41" t="s">
        <v>35</v>
      </c>
      <c r="H41" s="6">
        <v>1</v>
      </c>
      <c r="J41" s="6"/>
      <c r="L41">
        <v>0.50692000000000004</v>
      </c>
      <c r="M41">
        <v>0.17923</v>
      </c>
    </row>
    <row r="42" ht="14.25">
      <c r="A42" t="s">
        <v>118</v>
      </c>
      <c r="B42" t="s">
        <v>103</v>
      </c>
      <c r="C42">
        <v>2</v>
      </c>
      <c r="D42">
        <v>11</v>
      </c>
      <c r="E42" t="s">
        <v>36</v>
      </c>
      <c r="F42" s="6">
        <v>3</v>
      </c>
      <c r="G42" t="s">
        <v>35</v>
      </c>
      <c r="H42" s="6">
        <v>0</v>
      </c>
      <c r="J42" s="6"/>
      <c r="L42">
        <v>0.50693999999999995</v>
      </c>
      <c r="M42">
        <v>0.14723</v>
      </c>
    </row>
    <row r="43" ht="14.25">
      <c r="A43" t="s">
        <v>119</v>
      </c>
      <c r="B43" t="s">
        <v>115</v>
      </c>
      <c r="C43">
        <v>2</v>
      </c>
      <c r="D43">
        <v>12</v>
      </c>
      <c r="E43" t="s">
        <v>15</v>
      </c>
      <c r="F43" s="6">
        <v>2</v>
      </c>
      <c r="G43" t="s">
        <v>34</v>
      </c>
      <c r="H43" s="6">
        <v>0</v>
      </c>
      <c r="I43"/>
      <c r="J43" s="6"/>
      <c r="L43">
        <v>0.50670000000000004</v>
      </c>
      <c r="M43">
        <v>0.19731000000000001</v>
      </c>
    </row>
    <row r="44" ht="14.25">
      <c r="A44" t="s">
        <v>120</v>
      </c>
      <c r="B44" t="s">
        <v>115</v>
      </c>
      <c r="C44">
        <v>2</v>
      </c>
      <c r="D44">
        <v>13</v>
      </c>
      <c r="E44" t="s">
        <v>15</v>
      </c>
      <c r="F44" s="6">
        <v>1</v>
      </c>
      <c r="H44" s="6"/>
      <c r="J44" s="6"/>
      <c r="L44">
        <v>0.40845999999999999</v>
      </c>
      <c r="M44">
        <v>0.13980999999999999</v>
      </c>
    </row>
    <row r="45" ht="14.25">
      <c r="A45" t="s">
        <v>121</v>
      </c>
      <c r="B45" t="s">
        <v>115</v>
      </c>
      <c r="C45">
        <v>2</v>
      </c>
      <c r="D45">
        <v>14</v>
      </c>
      <c r="E45" t="s">
        <v>15</v>
      </c>
      <c r="F45" s="6">
        <v>3</v>
      </c>
      <c r="H45" s="6"/>
      <c r="J45" s="6"/>
      <c r="L45">
        <v>0.36752000000000001</v>
      </c>
      <c r="M45">
        <v>8.9700000000000005e-03</v>
      </c>
    </row>
    <row r="46" ht="14.25">
      <c r="A46" s="5" t="s">
        <v>122</v>
      </c>
      <c r="B46" s="5" t="s">
        <v>103</v>
      </c>
      <c r="C46">
        <v>2</v>
      </c>
      <c r="D46">
        <v>15</v>
      </c>
      <c r="E46" t="s">
        <v>36</v>
      </c>
      <c r="F46" s="6">
        <v>0</v>
      </c>
      <c r="G46" t="s">
        <v>35</v>
      </c>
      <c r="H46" s="6">
        <v>3</v>
      </c>
      <c r="J46" s="6"/>
      <c r="L46">
        <v>0.51524000000000003</v>
      </c>
      <c r="M46">
        <v>0.15916</v>
      </c>
    </row>
    <row r="47" ht="14.25">
      <c r="A47" t="s">
        <v>123</v>
      </c>
      <c r="B47" t="s">
        <v>115</v>
      </c>
      <c r="C47">
        <v>2</v>
      </c>
      <c r="D47">
        <v>16</v>
      </c>
      <c r="E47" t="s">
        <v>15</v>
      </c>
      <c r="F47" s="6">
        <v>3</v>
      </c>
      <c r="G47" t="s">
        <v>34</v>
      </c>
      <c r="H47" s="6">
        <v>2</v>
      </c>
      <c r="J47" s="6"/>
      <c r="L47">
        <v>0.2072</v>
      </c>
      <c r="M47">
        <v>0.16113</v>
      </c>
    </row>
    <row r="48" ht="14.25">
      <c r="A48" t="s">
        <v>124</v>
      </c>
      <c r="B48" t="s">
        <v>103</v>
      </c>
      <c r="C48">
        <v>2</v>
      </c>
      <c r="D48">
        <v>17</v>
      </c>
      <c r="E48" t="s">
        <v>31</v>
      </c>
      <c r="F48" s="6">
        <v>1</v>
      </c>
      <c r="G48" t="s">
        <v>30</v>
      </c>
      <c r="H48" s="6">
        <v>2</v>
      </c>
      <c r="J48" s="6"/>
      <c r="L48">
        <v>0.24321000000000001</v>
      </c>
      <c r="M48">
        <v>0.16125</v>
      </c>
    </row>
    <row r="49" ht="14.25">
      <c r="A49" t="s">
        <v>125</v>
      </c>
      <c r="B49" t="s">
        <v>103</v>
      </c>
      <c r="C49">
        <v>2</v>
      </c>
      <c r="D49">
        <v>18</v>
      </c>
      <c r="E49" t="s">
        <v>31</v>
      </c>
      <c r="F49" s="6">
        <v>3</v>
      </c>
      <c r="H49" s="6"/>
      <c r="J49" s="6"/>
      <c r="L49">
        <v>0.1807</v>
      </c>
      <c r="M49">
        <v>0.18845000000000001</v>
      </c>
    </row>
    <row r="50" ht="14.25">
      <c r="A50" t="s">
        <v>126</v>
      </c>
      <c r="B50" t="s">
        <v>103</v>
      </c>
      <c r="C50">
        <v>2</v>
      </c>
      <c r="D50">
        <v>37</v>
      </c>
      <c r="E50" t="s">
        <v>36</v>
      </c>
      <c r="F50" s="6">
        <v>1</v>
      </c>
      <c r="G50" t="s">
        <v>35</v>
      </c>
      <c r="H50" s="6">
        <v>2</v>
      </c>
      <c r="J50" s="6"/>
      <c r="K50" s="5"/>
      <c r="L50">
        <v>0.26860000000000001</v>
      </c>
      <c r="M50">
        <v>0.33315</v>
      </c>
    </row>
    <row r="51" ht="14.25">
      <c r="A51" t="s">
        <v>127</v>
      </c>
      <c r="B51" t="s">
        <v>94</v>
      </c>
      <c r="C51">
        <v>3</v>
      </c>
      <c r="D51">
        <v>2</v>
      </c>
      <c r="E51" t="s">
        <v>25</v>
      </c>
      <c r="F51" s="6">
        <v>1</v>
      </c>
      <c r="G51" s="5" t="s">
        <v>26</v>
      </c>
      <c r="H51" s="6">
        <v>1</v>
      </c>
      <c r="I51" s="5"/>
      <c r="J51" s="6"/>
      <c r="K51" s="5"/>
      <c r="L51">
        <v>0.84330000000000005</v>
      </c>
      <c r="M51">
        <v>0.73365999999999998</v>
      </c>
    </row>
    <row r="52" ht="14.25">
      <c r="A52" t="s">
        <v>128</v>
      </c>
      <c r="B52" t="s">
        <v>83</v>
      </c>
      <c r="C52">
        <v>3</v>
      </c>
      <c r="D52">
        <v>1</v>
      </c>
      <c r="E52" t="s">
        <v>18</v>
      </c>
      <c r="F52" s="6">
        <v>0</v>
      </c>
      <c r="G52" t="s">
        <v>20</v>
      </c>
      <c r="H52" s="6">
        <v>0</v>
      </c>
      <c r="J52" s="6"/>
      <c r="L52">
        <v>0.73740000000000006</v>
      </c>
      <c r="M52">
        <v>0.76132</v>
      </c>
    </row>
    <row r="53" ht="14.25">
      <c r="A53" t="s">
        <v>129</v>
      </c>
      <c r="B53" t="s">
        <v>101</v>
      </c>
      <c r="C53">
        <v>3</v>
      </c>
      <c r="D53">
        <v>12</v>
      </c>
      <c r="E53" t="s">
        <v>17</v>
      </c>
      <c r="F53" s="6">
        <v>2</v>
      </c>
      <c r="G53" t="s">
        <v>27</v>
      </c>
      <c r="H53" s="6">
        <v>2</v>
      </c>
      <c r="J53" s="6"/>
      <c r="L53">
        <v>0.72833999999999999</v>
      </c>
      <c r="M53">
        <v>0.80681000000000003</v>
      </c>
    </row>
    <row r="54" ht="14.25">
      <c r="A54" s="5" t="s">
        <v>130</v>
      </c>
      <c r="B54" s="5" t="s">
        <v>24</v>
      </c>
      <c r="C54">
        <v>3</v>
      </c>
      <c r="D54">
        <v>27</v>
      </c>
      <c r="E54" t="s">
        <v>24</v>
      </c>
      <c r="F54" s="6">
        <v>0</v>
      </c>
      <c r="H54" s="6"/>
      <c r="J54" s="6"/>
      <c r="K54"/>
      <c r="L54">
        <v>0.72909999999999997</v>
      </c>
      <c r="M54">
        <v>0.86794000000000004</v>
      </c>
    </row>
    <row r="55" ht="14.25">
      <c r="A55" s="5" t="s">
        <v>131</v>
      </c>
      <c r="B55" t="s">
        <v>24</v>
      </c>
      <c r="C55">
        <v>3</v>
      </c>
      <c r="D55">
        <v>8</v>
      </c>
      <c r="E55" t="s">
        <v>24</v>
      </c>
      <c r="F55" s="6">
        <v>0</v>
      </c>
      <c r="H55" s="6"/>
      <c r="J55" s="6"/>
      <c r="K55"/>
      <c r="L55">
        <v>0.77481999999999995</v>
      </c>
      <c r="M55">
        <v>0.86514000000000002</v>
      </c>
    </row>
    <row r="56" ht="14.25">
      <c r="A56" s="5" t="s">
        <v>132</v>
      </c>
      <c r="B56" s="5" t="s">
        <v>133</v>
      </c>
      <c r="C56">
        <v>3</v>
      </c>
      <c r="D56">
        <v>18</v>
      </c>
      <c r="E56" t="s">
        <v>37</v>
      </c>
      <c r="F56" s="6">
        <v>0</v>
      </c>
      <c r="G56" t="s">
        <v>7</v>
      </c>
      <c r="H56" s="6">
        <v>2</v>
      </c>
      <c r="J56" s="6"/>
      <c r="L56">
        <v>0.77488000000000001</v>
      </c>
      <c r="M56">
        <v>0.80406999999999995</v>
      </c>
    </row>
    <row r="57" ht="14.25">
      <c r="A57" s="5" t="s">
        <v>134</v>
      </c>
      <c r="B57" t="s">
        <v>83</v>
      </c>
      <c r="C57">
        <v>3</v>
      </c>
      <c r="D57">
        <v>28</v>
      </c>
      <c r="E57" t="s">
        <v>18</v>
      </c>
      <c r="F57" s="6">
        <v>0</v>
      </c>
      <c r="G57" t="s">
        <v>20</v>
      </c>
      <c r="H57" s="6">
        <v>0</v>
      </c>
      <c r="J57" s="6"/>
      <c r="L57">
        <v>0.82133999999999996</v>
      </c>
      <c r="M57">
        <v>0.86787999999999998</v>
      </c>
    </row>
    <row r="58" ht="14.25">
      <c r="A58" s="5" t="s">
        <v>135</v>
      </c>
      <c r="B58" t="s">
        <v>136</v>
      </c>
      <c r="C58">
        <v>3</v>
      </c>
      <c r="D58">
        <v>4</v>
      </c>
      <c r="E58" t="s">
        <v>17</v>
      </c>
      <c r="F58" s="6">
        <v>0</v>
      </c>
      <c r="H58" s="6"/>
      <c r="J58" s="6"/>
      <c r="L58">
        <v>0.82123000000000002</v>
      </c>
      <c r="M58">
        <v>0.80496999999999996</v>
      </c>
    </row>
    <row r="59" ht="14.25">
      <c r="A59" t="s">
        <v>137</v>
      </c>
      <c r="B59" s="5" t="s">
        <v>133</v>
      </c>
      <c r="C59">
        <v>3</v>
      </c>
      <c r="D59">
        <v>10</v>
      </c>
      <c r="E59" t="s">
        <v>37</v>
      </c>
      <c r="F59" s="6">
        <v>0</v>
      </c>
      <c r="G59" t="s">
        <v>7</v>
      </c>
      <c r="H59" s="6">
        <v>2</v>
      </c>
      <c r="J59" s="6"/>
      <c r="K59"/>
      <c r="L59">
        <v>2.503e-02</v>
      </c>
      <c r="M59">
        <v>0.16669999999999999</v>
      </c>
    </row>
    <row r="60" ht="14.25">
      <c r="A60" t="s">
        <v>138</v>
      </c>
      <c r="B60" t="s">
        <v>80</v>
      </c>
      <c r="C60">
        <v>3</v>
      </c>
      <c r="D60">
        <v>34</v>
      </c>
      <c r="E60" t="s">
        <v>8</v>
      </c>
      <c r="F60" s="6">
        <v>0</v>
      </c>
      <c r="H60" s="6"/>
      <c r="J60" s="6"/>
      <c r="K60"/>
      <c r="L60">
        <v>3.5139999999999998e-02</v>
      </c>
      <c r="M60">
        <v>0.19055</v>
      </c>
    </row>
    <row r="61" ht="14.25">
      <c r="A61" t="s">
        <v>139</v>
      </c>
      <c r="B61" t="s">
        <v>11</v>
      </c>
      <c r="C61">
        <v>3</v>
      </c>
      <c r="D61">
        <v>5</v>
      </c>
      <c r="E61" t="s">
        <v>11</v>
      </c>
      <c r="F61" s="6">
        <v>0</v>
      </c>
      <c r="H61" s="6"/>
      <c r="J61" s="6"/>
      <c r="K61" s="5"/>
      <c r="L61">
        <v>7.6139999999999999e-02</v>
      </c>
      <c r="M61">
        <v>0.23055999999999999</v>
      </c>
    </row>
    <row r="62" ht="14.25">
      <c r="A62" t="s">
        <v>140</v>
      </c>
      <c r="B62" t="s">
        <v>11</v>
      </c>
      <c r="C62">
        <v>3</v>
      </c>
      <c r="D62">
        <v>29</v>
      </c>
      <c r="E62" t="s">
        <v>11</v>
      </c>
      <c r="F62" s="6">
        <v>1</v>
      </c>
      <c r="H62" s="6"/>
      <c r="J62" s="6"/>
      <c r="L62">
        <v>6.6379999999999995e-02</v>
      </c>
      <c r="M62">
        <v>9.6750000000000003e-02</v>
      </c>
    </row>
    <row r="63" ht="14.25">
      <c r="A63" t="s">
        <v>141</v>
      </c>
      <c r="B63" s="5" t="s">
        <v>5</v>
      </c>
      <c r="C63">
        <v>3</v>
      </c>
      <c r="D63" s="3">
        <v>6</v>
      </c>
      <c r="E63" t="s">
        <v>5</v>
      </c>
      <c r="F63" s="6">
        <v>4</v>
      </c>
      <c r="H63" s="6"/>
      <c r="J63" s="6"/>
      <c r="K63"/>
      <c r="L63">
        <v>1.18e-02</v>
      </c>
      <c r="M63">
        <v>9.1800000000000007e-02</v>
      </c>
    </row>
    <row r="64" ht="14.25">
      <c r="A64" t="s">
        <v>142</v>
      </c>
      <c r="B64" t="s">
        <v>78</v>
      </c>
      <c r="C64">
        <v>3</v>
      </c>
      <c r="D64" s="5">
        <v>53</v>
      </c>
      <c r="E64" t="s">
        <v>18</v>
      </c>
      <c r="F64" s="6">
        <v>1</v>
      </c>
      <c r="H64" s="6"/>
      <c r="J64" s="6"/>
      <c r="L64">
        <v>5.3019999999999998e-02</v>
      </c>
      <c r="M64">
        <v>0.10556</v>
      </c>
    </row>
    <row r="65">
      <c r="A65" s="5" t="s">
        <v>143</v>
      </c>
      <c r="B65" t="s">
        <v>136</v>
      </c>
      <c r="C65">
        <v>3</v>
      </c>
      <c r="D65">
        <v>43</v>
      </c>
      <c r="E65" t="s">
        <v>17</v>
      </c>
      <c r="F65" s="6">
        <v>0</v>
      </c>
      <c r="H65" s="6"/>
      <c r="J65" s="6"/>
      <c r="L65">
        <v>3.6209999999999999e-02</v>
      </c>
      <c r="M65">
        <v>0.10184</v>
      </c>
    </row>
    <row r="66">
      <c r="A66" t="s">
        <v>144</v>
      </c>
      <c r="B66" t="s">
        <v>80</v>
      </c>
      <c r="C66">
        <v>3</v>
      </c>
      <c r="D66">
        <v>41</v>
      </c>
      <c r="E66" t="s">
        <v>8</v>
      </c>
      <c r="F66" s="6">
        <v>0</v>
      </c>
      <c r="H66" s="6"/>
      <c r="J66" s="6"/>
      <c r="L66">
        <v>8.5819999999999994e-02</v>
      </c>
      <c r="M66">
        <v>0.22975000000000001</v>
      </c>
    </row>
    <row r="67">
      <c r="A67" s="3" t="s">
        <v>145</v>
      </c>
      <c r="B67" s="3" t="s">
        <v>85</v>
      </c>
      <c r="C67" s="5">
        <v>3</v>
      </c>
      <c r="D67" s="5">
        <v>21</v>
      </c>
      <c r="E67" t="s">
        <v>22</v>
      </c>
      <c r="F67" s="6">
        <v>0</v>
      </c>
      <c r="G67" s="5"/>
      <c r="H67" s="6"/>
      <c r="I67" s="5"/>
      <c r="J67" s="6"/>
      <c r="K67" s="5"/>
      <c r="L67">
        <v>0.14049</v>
      </c>
      <c r="M67">
        <v>0.16084000000000001</v>
      </c>
    </row>
    <row r="68">
      <c r="A68" s="5" t="s">
        <v>146</v>
      </c>
      <c r="B68" t="s">
        <v>80</v>
      </c>
      <c r="C68">
        <v>3</v>
      </c>
      <c r="D68">
        <v>16</v>
      </c>
      <c r="E68" t="s">
        <v>13</v>
      </c>
      <c r="F68" s="6">
        <v>1</v>
      </c>
      <c r="G68" t="s">
        <v>37</v>
      </c>
      <c r="H68" s="6">
        <v>1</v>
      </c>
      <c r="J68" s="6"/>
      <c r="L68">
        <v>0.11122</v>
      </c>
      <c r="M68">
        <v>0.16103000000000001</v>
      </c>
    </row>
    <row r="69">
      <c r="A69" t="s">
        <v>147</v>
      </c>
      <c r="B69" t="s">
        <v>11</v>
      </c>
      <c r="C69">
        <v>3</v>
      </c>
      <c r="D69">
        <v>13</v>
      </c>
      <c r="E69" t="s">
        <v>11</v>
      </c>
      <c r="F69" s="6">
        <v>2</v>
      </c>
      <c r="H69" s="6"/>
      <c r="J69" s="6"/>
      <c r="L69">
        <v>0.12304</v>
      </c>
      <c r="M69">
        <v>0.2888</v>
      </c>
    </row>
    <row r="70">
      <c r="A70" s="3" t="s">
        <v>148</v>
      </c>
      <c r="B70" s="5" t="s">
        <v>11</v>
      </c>
      <c r="C70">
        <v>3</v>
      </c>
      <c r="D70">
        <v>25</v>
      </c>
      <c r="E70" t="s">
        <v>11</v>
      </c>
      <c r="F70" s="6">
        <v>0</v>
      </c>
      <c r="G70"/>
      <c r="H70" s="6"/>
      <c r="J70" s="6"/>
      <c r="K70" s="5"/>
      <c r="L70">
        <v>0.18509999999999999</v>
      </c>
      <c r="M70">
        <v>0.49329000000000001</v>
      </c>
    </row>
    <row r="71">
      <c r="A71" t="s">
        <v>149</v>
      </c>
      <c r="B71" t="s">
        <v>101</v>
      </c>
      <c r="C71">
        <v>3</v>
      </c>
      <c r="D71">
        <v>30</v>
      </c>
      <c r="E71" t="s">
        <v>27</v>
      </c>
      <c r="F71" s="6">
        <v>0</v>
      </c>
      <c r="G71"/>
      <c r="H71" s="6"/>
      <c r="J71" s="6"/>
      <c r="L71">
        <v>0.16732</v>
      </c>
      <c r="M71">
        <v>0.34770000000000001</v>
      </c>
    </row>
    <row r="72">
      <c r="A72" s="3" t="s">
        <v>150</v>
      </c>
      <c r="B72" t="s">
        <v>136</v>
      </c>
      <c r="C72">
        <v>3</v>
      </c>
      <c r="D72">
        <v>23</v>
      </c>
      <c r="E72" t="s">
        <v>13</v>
      </c>
      <c r="F72" s="6">
        <v>0</v>
      </c>
      <c r="H72" s="6"/>
      <c r="J72" s="6"/>
      <c r="L72">
        <v>0.40573999999999999</v>
      </c>
      <c r="M72">
        <v>0.40015000000000001</v>
      </c>
    </row>
    <row r="73">
      <c r="A73" t="s">
        <v>151</v>
      </c>
      <c r="B73" t="s">
        <v>5</v>
      </c>
      <c r="C73">
        <v>3</v>
      </c>
      <c r="D73">
        <v>0</v>
      </c>
      <c r="E73" t="s">
        <v>5</v>
      </c>
      <c r="F73" s="6">
        <v>1</v>
      </c>
      <c r="G73" t="s">
        <v>7</v>
      </c>
      <c r="H73" s="6">
        <v>1</v>
      </c>
      <c r="I73" t="s">
        <v>37</v>
      </c>
      <c r="J73" s="6">
        <v>2</v>
      </c>
      <c r="L73">
        <v>0.30718000000000001</v>
      </c>
      <c r="M73">
        <v>0.36860999999999999</v>
      </c>
    </row>
    <row r="74">
      <c r="A74" t="s">
        <v>152</v>
      </c>
      <c r="B74" t="s">
        <v>5</v>
      </c>
      <c r="C74">
        <v>3</v>
      </c>
      <c r="D74" s="5">
        <v>57</v>
      </c>
      <c r="E74" t="s">
        <v>5</v>
      </c>
      <c r="F74" s="6">
        <v>3</v>
      </c>
      <c r="H74" s="6"/>
      <c r="J74" s="6"/>
      <c r="K74" s="5"/>
      <c r="L74">
        <v>0.28232000000000002</v>
      </c>
      <c r="M74">
        <v>0.74499000000000004</v>
      </c>
    </row>
    <row r="75">
      <c r="A75" t="s">
        <v>153</v>
      </c>
      <c r="B75" t="s">
        <v>94</v>
      </c>
      <c r="C75">
        <v>3</v>
      </c>
      <c r="D75">
        <v>3</v>
      </c>
      <c r="E75" t="s">
        <v>25</v>
      </c>
      <c r="F75" s="6">
        <v>3</v>
      </c>
      <c r="G75" t="s">
        <v>26</v>
      </c>
      <c r="H75" s="6">
        <v>3</v>
      </c>
      <c r="I75"/>
      <c r="J75" s="6"/>
      <c r="K75"/>
      <c r="L75">
        <v>0.50866</v>
      </c>
      <c r="M75">
        <v>0.23694000000000001</v>
      </c>
    </row>
    <row r="76">
      <c r="A76" t="s">
        <v>154</v>
      </c>
      <c r="B76" t="s">
        <v>80</v>
      </c>
      <c r="C76">
        <v>3</v>
      </c>
      <c r="D76">
        <v>26</v>
      </c>
      <c r="E76" t="s">
        <v>8</v>
      </c>
      <c r="F76" s="6">
        <v>1</v>
      </c>
      <c r="G76"/>
      <c r="H76" s="6"/>
      <c r="I76"/>
      <c r="J76" s="6"/>
      <c r="K76"/>
      <c r="L76">
        <v>0.50695999999999997</v>
      </c>
      <c r="M76">
        <v>0.2215</v>
      </c>
    </row>
    <row r="77">
      <c r="A77" s="5" t="s">
        <v>155</v>
      </c>
      <c r="B77" s="5" t="s">
        <v>45</v>
      </c>
      <c r="C77">
        <v>3</v>
      </c>
      <c r="D77">
        <v>45</v>
      </c>
      <c r="F77" s="6"/>
      <c r="H77" s="6"/>
      <c r="J77" s="6"/>
      <c r="L77">
        <v>0.49284</v>
      </c>
      <c r="M77">
        <v>0.23652999999999999</v>
      </c>
    </row>
    <row r="78">
      <c r="A78" t="s">
        <v>156</v>
      </c>
      <c r="B78" s="3" t="s">
        <v>5</v>
      </c>
      <c r="C78">
        <v>3</v>
      </c>
      <c r="D78">
        <v>22</v>
      </c>
      <c r="E78" t="s">
        <v>5</v>
      </c>
      <c r="F78" s="6">
        <v>3</v>
      </c>
      <c r="H78" s="6"/>
      <c r="J78" s="6"/>
      <c r="L78">
        <v>0.55464000000000002</v>
      </c>
      <c r="M78">
        <v>0.35977999999999999</v>
      </c>
    </row>
    <row r="79">
      <c r="A79" s="5" t="s">
        <v>157</v>
      </c>
      <c r="B79" s="5" t="s">
        <v>133</v>
      </c>
      <c r="C79">
        <v>3</v>
      </c>
      <c r="D79">
        <v>58</v>
      </c>
      <c r="E79" t="s">
        <v>9</v>
      </c>
      <c r="F79" s="6">
        <v>1</v>
      </c>
      <c r="H79" s="6"/>
      <c r="J79" s="6"/>
      <c r="L79">
        <v>0.50151999999999997</v>
      </c>
      <c r="M79">
        <v>0.36008000000000001</v>
      </c>
    </row>
    <row r="80">
      <c r="A80" t="s">
        <v>158</v>
      </c>
      <c r="B80" t="s">
        <v>136</v>
      </c>
      <c r="C80">
        <v>3</v>
      </c>
      <c r="D80">
        <v>35</v>
      </c>
      <c r="E80" t="s">
        <v>13</v>
      </c>
      <c r="F80" s="6">
        <v>4</v>
      </c>
      <c r="H80" s="6"/>
      <c r="J80" s="6"/>
      <c r="L80">
        <v>0.51034000000000002</v>
      </c>
      <c r="M80">
        <v>0.44258999999999998</v>
      </c>
    </row>
    <row r="81">
      <c r="A81" s="5" t="s">
        <v>159</v>
      </c>
      <c r="B81" t="s">
        <v>136</v>
      </c>
      <c r="C81">
        <v>3</v>
      </c>
      <c r="D81">
        <v>14</v>
      </c>
      <c r="E81" t="s">
        <v>13</v>
      </c>
      <c r="F81" s="6">
        <v>3</v>
      </c>
      <c r="G81" t="s">
        <v>17</v>
      </c>
      <c r="H81" s="6">
        <v>3</v>
      </c>
      <c r="I81" t="s">
        <v>8</v>
      </c>
      <c r="J81" s="6">
        <v>4</v>
      </c>
      <c r="L81">
        <v>0.58986000000000005</v>
      </c>
      <c r="M81">
        <v>0.48066999999999999</v>
      </c>
    </row>
    <row r="82">
      <c r="A82" s="5" t="s">
        <v>160</v>
      </c>
      <c r="B82" s="5" t="s">
        <v>101</v>
      </c>
      <c r="C82">
        <v>3</v>
      </c>
      <c r="D82">
        <v>7</v>
      </c>
      <c r="E82" t="s">
        <v>17</v>
      </c>
      <c r="F82" s="6">
        <v>2</v>
      </c>
      <c r="G82" t="s">
        <v>27</v>
      </c>
      <c r="H82" s="6">
        <v>2</v>
      </c>
      <c r="I82"/>
      <c r="J82" s="6"/>
      <c r="L82">
        <v>0.57837000000000005</v>
      </c>
      <c r="M82">
        <v>0.38973000000000002</v>
      </c>
    </row>
    <row r="83">
      <c r="A83" t="s">
        <v>161</v>
      </c>
      <c r="B83" t="s">
        <v>24</v>
      </c>
      <c r="C83">
        <v>3</v>
      </c>
      <c r="D83">
        <v>62</v>
      </c>
      <c r="E83" t="s">
        <v>24</v>
      </c>
      <c r="F83" s="6">
        <v>2</v>
      </c>
      <c r="H83" s="6"/>
      <c r="J83" s="6"/>
      <c r="K83" s="3"/>
      <c r="L83">
        <v>0.41831000000000002</v>
      </c>
      <c r="M83">
        <v>0.61895999999999995</v>
      </c>
    </row>
    <row r="84">
      <c r="A84" s="5" t="s">
        <v>162</v>
      </c>
      <c r="B84" t="s">
        <v>136</v>
      </c>
      <c r="C84">
        <v>3</v>
      </c>
      <c r="D84">
        <v>60</v>
      </c>
      <c r="E84" t="s">
        <v>13</v>
      </c>
      <c r="F84" s="7">
        <v>2</v>
      </c>
      <c r="H84" s="6"/>
      <c r="J84" s="6"/>
      <c r="L84">
        <v>0.73336999999999997</v>
      </c>
      <c r="M84">
        <v>0.37383</v>
      </c>
    </row>
    <row r="85">
      <c r="A85" t="s">
        <v>163</v>
      </c>
      <c r="B85" s="5" t="s">
        <v>133</v>
      </c>
      <c r="C85">
        <v>3</v>
      </c>
      <c r="D85">
        <v>36</v>
      </c>
      <c r="E85" t="s">
        <v>7</v>
      </c>
      <c r="F85" s="6">
        <v>0</v>
      </c>
      <c r="H85" s="6"/>
      <c r="J85" s="6"/>
      <c r="K85"/>
      <c r="L85">
        <v>0.69293000000000005</v>
      </c>
      <c r="M85">
        <v>0.71189999999999998</v>
      </c>
    </row>
    <row r="86">
      <c r="A86" t="s">
        <v>164</v>
      </c>
      <c r="B86" t="s">
        <v>24</v>
      </c>
      <c r="C86">
        <v>3</v>
      </c>
      <c r="D86">
        <v>11</v>
      </c>
      <c r="E86" t="s">
        <v>24</v>
      </c>
      <c r="F86" s="6">
        <v>1</v>
      </c>
      <c r="H86" s="6"/>
      <c r="J86" s="6"/>
      <c r="L86">
        <v>0.75165000000000004</v>
      </c>
      <c r="M86">
        <v>0.72365000000000002</v>
      </c>
    </row>
    <row r="87">
      <c r="A87" t="s">
        <v>165</v>
      </c>
      <c r="B87" s="5" t="s">
        <v>136</v>
      </c>
      <c r="C87">
        <v>3</v>
      </c>
      <c r="D87">
        <v>15</v>
      </c>
      <c r="E87" t="s">
        <v>13</v>
      </c>
      <c r="F87" s="6">
        <v>4</v>
      </c>
      <c r="H87" s="6"/>
      <c r="J87" s="6"/>
      <c r="L87">
        <v>0.65059</v>
      </c>
      <c r="M87">
        <v>0.69833999999999996</v>
      </c>
    </row>
    <row r="88">
      <c r="A88" t="s">
        <v>166</v>
      </c>
      <c r="B88" s="3" t="s">
        <v>101</v>
      </c>
      <c r="C88">
        <v>3</v>
      </c>
      <c r="D88">
        <v>38</v>
      </c>
      <c r="E88" t="s">
        <v>17</v>
      </c>
      <c r="F88" s="6">
        <v>1</v>
      </c>
      <c r="G88" t="s">
        <v>23</v>
      </c>
      <c r="H88" s="6">
        <v>4</v>
      </c>
      <c r="J88" s="6"/>
    </row>
    <row r="89">
      <c r="A89" t="s">
        <v>167</v>
      </c>
      <c r="B89" t="s">
        <v>5</v>
      </c>
      <c r="C89">
        <v>3</v>
      </c>
      <c r="D89">
        <v>33</v>
      </c>
      <c r="E89" t="s">
        <v>5</v>
      </c>
      <c r="F89" s="6">
        <v>0</v>
      </c>
      <c r="G89"/>
      <c r="H89" s="6"/>
      <c r="J89" s="6"/>
      <c r="K89" s="5"/>
    </row>
    <row r="90">
      <c r="A90" t="s">
        <v>168</v>
      </c>
      <c r="B90" t="s">
        <v>101</v>
      </c>
      <c r="C90">
        <v>3</v>
      </c>
      <c r="D90">
        <v>20</v>
      </c>
      <c r="E90" t="s">
        <v>17</v>
      </c>
      <c r="F90" s="6">
        <v>1</v>
      </c>
      <c r="G90" t="s">
        <v>23</v>
      </c>
      <c r="H90" s="6">
        <v>4</v>
      </c>
      <c r="J90" s="6"/>
      <c r="L90">
        <v>6.6949999999999996e-02</v>
      </c>
      <c r="M90">
        <v>0.34520000000000001</v>
      </c>
    </row>
    <row r="91">
      <c r="A91" s="5" t="s">
        <v>169</v>
      </c>
      <c r="B91" s="5" t="s">
        <v>78</v>
      </c>
      <c r="C91" s="5"/>
      <c r="D91" s="5"/>
      <c r="E91" t="s">
        <v>27</v>
      </c>
      <c r="F91" s="6">
        <v>3</v>
      </c>
      <c r="G91" s="5"/>
      <c r="H91" s="6"/>
      <c r="I91" s="5"/>
      <c r="J91" s="6"/>
    </row>
    <row r="92">
      <c r="A92" s="3" t="s">
        <v>170</v>
      </c>
      <c r="B92" s="5" t="s">
        <v>101</v>
      </c>
      <c r="E92" t="s">
        <v>27</v>
      </c>
      <c r="F92" s="6">
        <v>1</v>
      </c>
      <c r="G92" t="s">
        <v>30</v>
      </c>
      <c r="H92" s="6">
        <v>0</v>
      </c>
      <c r="J92" s="6"/>
      <c r="K92" s="5" t="s">
        <v>171</v>
      </c>
    </row>
    <row r="93">
      <c r="A93" s="5" t="s">
        <v>172</v>
      </c>
      <c r="B93" t="s">
        <v>78</v>
      </c>
      <c r="E93" t="s">
        <v>27</v>
      </c>
      <c r="F93" s="6">
        <v>4</v>
      </c>
      <c r="H93" s="6"/>
      <c r="J93" s="6"/>
      <c r="K93" t="s">
        <v>173</v>
      </c>
    </row>
    <row r="94">
      <c r="A94" t="s">
        <v>174</v>
      </c>
      <c r="B94" t="s">
        <v>83</v>
      </c>
      <c r="C94"/>
      <c r="D94" s="3"/>
      <c r="E94" t="s">
        <v>18</v>
      </c>
      <c r="F94" s="6">
        <v>0</v>
      </c>
      <c r="G94" s="5" t="s">
        <v>20</v>
      </c>
      <c r="H94" s="6">
        <v>0</v>
      </c>
      <c r="I94" s="5"/>
      <c r="J94" s="6"/>
      <c r="K94" t="s">
        <v>175</v>
      </c>
    </row>
    <row r="95">
      <c r="A95" t="s">
        <v>176</v>
      </c>
      <c r="B95" s="3" t="s">
        <v>78</v>
      </c>
      <c r="E95" t="s">
        <v>14</v>
      </c>
      <c r="F95" s="6">
        <v>1</v>
      </c>
      <c r="H95" s="6"/>
      <c r="J95" s="6"/>
    </row>
    <row r="96">
      <c r="A96" t="s">
        <v>177</v>
      </c>
      <c r="B96" s="5" t="s">
        <v>78</v>
      </c>
      <c r="E96" t="s">
        <v>23</v>
      </c>
      <c r="F96" s="6">
        <v>3</v>
      </c>
      <c r="H96" s="6"/>
      <c r="J96" s="6"/>
      <c r="K96" s="5" t="s">
        <v>178</v>
      </c>
      <c r="L96">
        <v>4.9509999999999998e-02</v>
      </c>
      <c r="M96">
        <v>0.14158000000000001</v>
      </c>
    </row>
    <row r="97">
      <c r="A97" s="3"/>
      <c r="F97" s="2"/>
      <c r="G97" s="2"/>
      <c r="H97" s="2"/>
      <c r="I97" s="2"/>
      <c r="J97" s="2"/>
    </row>
    <row r="98">
      <c r="F98" s="2"/>
      <c r="G98" s="2"/>
      <c r="H98" s="2"/>
      <c r="I98" s="2"/>
      <c r="J98" s="2"/>
    </row>
    <row r="104">
      <c r="G104" s="3"/>
    </row>
  </sheetData>
  <autoFilter ref="A1:K101">
    <sortState ref="A2:K101" columnSort="0">
      <sortCondition sortBy="value" descending="0" ref="C2:C101"/>
      <sortCondition sortBy="value" descending="0" ref="D2:D101"/>
    </sortState>
  </autoFilter>
  <dataValidations count="7" disablePrompts="0">
    <dataValidation sqref="E10:E96" type="list" allowBlank="1" errorStyle="stop" imeMode="noControl" operator="between" showDropDown="0" showErrorMessage="1" showInputMessage="1">
      <formula1>'Switch Positions'!$A$2:$A$29</formula1>
    </dataValidation>
    <dataValidation sqref="E2:E96" type="list" allowBlank="1" errorStyle="stop" imeMode="noControl" operator="between" showDropDown="0" showErrorMessage="1" showInputMessage="1">
      <formula1>'Switch Positions'!$A$2:$A$29</formula1>
    </dataValidation>
    <dataValidation sqref="G10:G33" type="list" allowBlank="1" errorStyle="stop" imeMode="noControl" operator="between" showDropDown="0" showErrorMessage="1" showInputMessage="1">
      <formula1>'Switch Positions'!$A$2:$A$29</formula1>
    </dataValidation>
    <dataValidation sqref="G2:G33" type="list" allowBlank="1" errorStyle="stop" imeMode="noControl" operator="between" showDropDown="0" showErrorMessage="1" showInputMessage="1">
      <formula1>'Switch Positions'!$A$2:$A$29</formula1>
    </dataValidation>
    <dataValidation sqref="G35:G94" type="list" allowBlank="1" errorStyle="stop" imeMode="noControl" operator="between" showDropDown="0" showErrorMessage="1" showInputMessage="1">
      <formula1>'Switch Positions'!$A$2:$A$29</formula1>
    </dataValidation>
    <dataValidation sqref="I10:I94" type="list" allowBlank="1" errorStyle="stop" imeMode="noControl" operator="between" showDropDown="0" showErrorMessage="1" showInputMessage="1">
      <formula1>'Switch Positions'!$A$2:$A$29</formula1>
    </dataValidation>
    <dataValidation sqref="I2:I94" type="list" allowBlank="1" errorStyle="stop" imeMode="noControl" operator="between" showDropDown="0" showErrorMessage="1" showInputMessage="1">
      <formula1>'Switch Positions'!$A$2:$A$29</formula1>
    </dataValidation>
  </dataValidations>
  <printOptions headings="0" gridLines="0"/>
  <pageMargins left="0.75" right="0.75" top="1" bottom="1" header="0.5" footer="0.5"/>
  <pageSetup paperSize="9" scale="100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179</v>
      </c>
      <c r="B1" t="s">
        <v>180</v>
      </c>
      <c r="C1" t="s">
        <v>64</v>
      </c>
      <c r="D1" t="s">
        <v>181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revision>11</cp:revision>
  <dcterms:created xsi:type="dcterms:W3CDTF">2026-01-26T10:41:07Z</dcterms:created>
  <dcterms:modified xsi:type="dcterms:W3CDTF">2026-06-13T03:25:50Z</dcterms:modified>
</cp:coreProperties>
</file>