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Switch Positions" sheetId="1" state="visible" r:id="rId2"/>
    <sheet name="Ethernet patches" sheetId="2" state="visible" r:id="rId3"/>
    <sheet name="Lights" sheetId="3" state="visible" r:id="rId4"/>
  </sheets>
  <definedNames>
    <definedName name="_xlnm._FilterDatabase" localSheetId="2" hidden="1">Lights!$A$1:$L$105</definedName>
    <definedName name="_xlnm._FilterDatabase" localSheetId="2" hidden="1">Lights!$A$1:$L$105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<sst xmlns="http://schemas.openxmlformats.org/spreadsheetml/2006/main" count="188" uniqueCount="188">
  <si>
    <t xml:space="preserve">Light Fitting</t>
  </si>
  <si>
    <t xml:space="preserve">Patch Panel Location</t>
  </si>
  <si>
    <t xml:space="preserve">Button order</t>
  </si>
  <si>
    <t xml:space="preserve">Master Bath</t>
  </si>
  <si>
    <t>2</t>
  </si>
  <si>
    <t xml:space="preserve">Master Bed near Bath</t>
  </si>
  <si>
    <t xml:space="preserve">Lounge near Master Bed</t>
  </si>
  <si>
    <t xml:space="preserve">Master Bed Near sliding Door</t>
  </si>
  <si>
    <t>0</t>
  </si>
  <si>
    <t>Bed3</t>
  </si>
  <si>
    <t>5</t>
  </si>
  <si>
    <t xml:space="preserve">Kitchen bench</t>
  </si>
  <si>
    <t xml:space="preserve">Near Screen Door</t>
  </si>
  <si>
    <t xml:space="preserve">B office</t>
  </si>
  <si>
    <t>4</t>
  </si>
  <si>
    <t xml:space="preserve">Hall near Kitchen</t>
  </si>
  <si>
    <t>Laundry/Kitchen</t>
  </si>
  <si>
    <t>1</t>
  </si>
  <si>
    <t>Powder</t>
  </si>
  <si>
    <t xml:space="preserve">Laundry near external door</t>
  </si>
  <si>
    <t>3</t>
  </si>
  <si>
    <t xml:space="preserve">Server Room</t>
  </si>
  <si>
    <t>Bed2</t>
  </si>
  <si>
    <t xml:space="preserve">Bath2 near Bed2</t>
  </si>
  <si>
    <t xml:space="preserve">Bath2 near Bed3</t>
  </si>
  <si>
    <t xml:space="preserve">Front Door</t>
  </si>
  <si>
    <t>Cellar</t>
  </si>
  <si>
    <t xml:space="preserve">Air Compressor Nook</t>
  </si>
  <si>
    <t xml:space="preserve">Steel Wall at bottom of stairs</t>
  </si>
  <si>
    <t xml:space="preserve">Top of stairs</t>
  </si>
  <si>
    <t xml:space="preserve">solar nook</t>
  </si>
  <si>
    <t>6</t>
  </si>
  <si>
    <t>Brewery</t>
  </si>
  <si>
    <t xml:space="preserve">M studio near balcony</t>
  </si>
  <si>
    <t xml:space="preserve">M studio near door</t>
  </si>
  <si>
    <t xml:space="preserve">Master Bed near Pivot</t>
  </si>
  <si>
    <t>Position</t>
  </si>
  <si>
    <t xml:space="preserve">Switch Position</t>
  </si>
  <si>
    <t>Thing</t>
  </si>
  <si>
    <t xml:space="preserve">Wiring Fault</t>
  </si>
  <si>
    <t xml:space="preserve">main tv</t>
  </si>
  <si>
    <t xml:space="preserve">Bed2 left (printer)</t>
  </si>
  <si>
    <t xml:space="preserve">Bed 2 ap</t>
  </si>
  <si>
    <t>???</t>
  </si>
  <si>
    <t xml:space="preserve">Mel studio ap</t>
  </si>
  <si>
    <t xml:space="preserve">Melissa bed side table</t>
  </si>
  <si>
    <t xml:space="preserve">Mel studio</t>
  </si>
  <si>
    <t xml:space="preserve">lounge room ap</t>
  </si>
  <si>
    <t xml:space="preserve">front doorbell</t>
  </si>
  <si>
    <t xml:space="preserve">side doorbell</t>
  </si>
  <si>
    <t xml:space="preserve">brewery under table</t>
  </si>
  <si>
    <t xml:space="preserve">Bruce office 2 (near stairs)</t>
  </si>
  <si>
    <t xml:space="preserve">Bruce office 1 (dock)</t>
  </si>
  <si>
    <t xml:space="preserve">WIR ap</t>
  </si>
  <si>
    <t xml:space="preserve">Bed2 Right</t>
  </si>
  <si>
    <t>NON-ETH</t>
  </si>
  <si>
    <t xml:space="preserve">Master Bed Button panel</t>
  </si>
  <si>
    <t xml:space="preserve">air con / solar / bike shed</t>
  </si>
  <si>
    <t xml:space="preserve">Brewery Button panel</t>
  </si>
  <si>
    <t>carport</t>
  </si>
  <si>
    <t xml:space="preserve">4,5 open</t>
  </si>
  <si>
    <t xml:space="preserve">B studio AP</t>
  </si>
  <si>
    <t>Light</t>
  </si>
  <si>
    <t>Location</t>
  </si>
  <si>
    <t>Device</t>
  </si>
  <si>
    <t>Address</t>
  </si>
  <si>
    <t xml:space="preserve">Fix Name</t>
  </si>
  <si>
    <t>Btn1</t>
  </si>
  <si>
    <t xml:space="preserve">Fix Name 2</t>
  </si>
  <si>
    <t>Btn2</t>
  </si>
  <si>
    <t xml:space="preserve">Fix name 3</t>
  </si>
  <si>
    <t>Btn3</t>
  </si>
  <si>
    <t>Note</t>
  </si>
  <si>
    <t xml:space="preserve">AirCon / Solar Nook</t>
  </si>
  <si>
    <t xml:space="preserve">Air con Hutch</t>
  </si>
  <si>
    <t xml:space="preserve">air compressor nook</t>
  </si>
  <si>
    <t>Exteriror</t>
  </si>
  <si>
    <t xml:space="preserve">B studio ceiling LED strip</t>
  </si>
  <si>
    <t xml:space="preserve">B Studio</t>
  </si>
  <si>
    <t xml:space="preserve">B studio above Storage</t>
  </si>
  <si>
    <t xml:space="preserve">B studio Drinks</t>
  </si>
  <si>
    <t xml:space="preserve">B studio Lightwell</t>
  </si>
  <si>
    <t xml:space="preserve">B studio sticky outy</t>
  </si>
  <si>
    <t xml:space="preserve">Bath2 anton</t>
  </si>
  <si>
    <t>Bath2</t>
  </si>
  <si>
    <t xml:space="preserve">Bath2 ceiling</t>
  </si>
  <si>
    <t xml:space="preserve">Bath2 fan</t>
  </si>
  <si>
    <t xml:space="preserve">Bath2 soap holder</t>
  </si>
  <si>
    <t xml:space="preserve">Bed2 Ceiling corner</t>
  </si>
  <si>
    <t xml:space="preserve">Bed2 Ceiling near door</t>
  </si>
  <si>
    <t xml:space="preserve">Bed2 Sconce</t>
  </si>
  <si>
    <t xml:space="preserve">Bed2 Curtain</t>
  </si>
  <si>
    <t xml:space="preserve">Bed3 Ceiling corner</t>
  </si>
  <si>
    <t xml:space="preserve">Do not know address</t>
  </si>
  <si>
    <t xml:space="preserve">Bed3 Ceiling near door</t>
  </si>
  <si>
    <t xml:space="preserve">Bed3 Curtain</t>
  </si>
  <si>
    <t xml:space="preserve">Bed3 Sconce</t>
  </si>
  <si>
    <t xml:space="preserve">Cellar Exterior</t>
  </si>
  <si>
    <t xml:space="preserve">Cellar interior</t>
  </si>
  <si>
    <t xml:space="preserve">Hallway Disc</t>
  </si>
  <si>
    <t>Hall</t>
  </si>
  <si>
    <t xml:space="preserve">Smiley Face</t>
  </si>
  <si>
    <t xml:space="preserve">Has manual switch</t>
  </si>
  <si>
    <t xml:space="preserve">Jewellery pendant</t>
  </si>
  <si>
    <t xml:space="preserve">Front deck under-deck</t>
  </si>
  <si>
    <t>Exterior</t>
  </si>
  <si>
    <t xml:space="preserve">Front Garden</t>
  </si>
  <si>
    <t xml:space="preserve">Kitchen near fridge</t>
  </si>
  <si>
    <t>Kitchen</t>
  </si>
  <si>
    <t xml:space="preserve">Kitchen near laundry</t>
  </si>
  <si>
    <t xml:space="preserve">Hall 1</t>
  </si>
  <si>
    <t xml:space="preserve">Hall 2</t>
  </si>
  <si>
    <t xml:space="preserve">Hall 3 (wide angle)</t>
  </si>
  <si>
    <t xml:space="preserve">Hall 4</t>
  </si>
  <si>
    <t xml:space="preserve">kitchen bench</t>
  </si>
  <si>
    <t xml:space="preserve">Round Light over informal dining</t>
  </si>
  <si>
    <t>Lounge</t>
  </si>
  <si>
    <t xml:space="preserve">Dining Room Down firing</t>
  </si>
  <si>
    <t xml:space="preserve">Dining Room Upwards firing</t>
  </si>
  <si>
    <t xml:space="preserve">kitchen spot nearest dining</t>
  </si>
  <si>
    <t xml:space="preserve">kitchen spot nearest hall</t>
  </si>
  <si>
    <t xml:space="preserve">Laundry cabinet top</t>
  </si>
  <si>
    <t>Laundry</t>
  </si>
  <si>
    <t xml:space="preserve">Has No Driver yet</t>
  </si>
  <si>
    <t xml:space="preserve">Laundry near door</t>
  </si>
  <si>
    <t xml:space="preserve">Laundry near exterior</t>
  </si>
  <si>
    <t>BBQ</t>
  </si>
  <si>
    <t xml:space="preserve">Almond and northwest</t>
  </si>
  <si>
    <t xml:space="preserve">Northeast exterior</t>
  </si>
  <si>
    <t xml:space="preserve">Front Door Light</t>
  </si>
  <si>
    <t xml:space="preserve">Broken Driver</t>
  </si>
  <si>
    <t xml:space="preserve">Laundry Fan</t>
  </si>
  <si>
    <t xml:space="preserve">Lounge ceiling near bed</t>
  </si>
  <si>
    <t xml:space="preserve">lounge celining near bookshelf</t>
  </si>
  <si>
    <t xml:space="preserve">Lounge sconce</t>
  </si>
  <si>
    <t>fireplace</t>
  </si>
  <si>
    <t xml:space="preserve">M studio bench</t>
  </si>
  <si>
    <t xml:space="preserve">M Studio</t>
  </si>
  <si>
    <t xml:space="preserve">M studio 1 bar</t>
  </si>
  <si>
    <t xml:space="preserve">M studio 1 spot</t>
  </si>
  <si>
    <t xml:space="preserve">M studio 2 bar </t>
  </si>
  <si>
    <t xml:space="preserve">M studio 2 spot</t>
  </si>
  <si>
    <t xml:space="preserve">M studio 3 bar</t>
  </si>
  <si>
    <t xml:space="preserve">M studio 3 spot</t>
  </si>
  <si>
    <t xml:space="preserve">Master Bath Anton</t>
  </si>
  <si>
    <t xml:space="preserve">Master Bath ceiling strip</t>
  </si>
  <si>
    <t xml:space="preserve">Master Bath sconce</t>
  </si>
  <si>
    <t xml:space="preserve">Master Bath Fan</t>
  </si>
  <si>
    <t xml:space="preserve">Master Toilet window</t>
  </si>
  <si>
    <t>Shower</t>
  </si>
  <si>
    <t xml:space="preserve">Master toilet ceiling</t>
  </si>
  <si>
    <t xml:space="preserve">Master Bed Niche</t>
  </si>
  <si>
    <t xml:space="preserve">Master Bed</t>
  </si>
  <si>
    <t xml:space="preserve">Master Bed WIR near bath</t>
  </si>
  <si>
    <t xml:space="preserve">Master Bed WIR near lounge</t>
  </si>
  <si>
    <t xml:space="preserve">Master bed bar near bath</t>
  </si>
  <si>
    <t xml:space="preserve">garden near pool</t>
  </si>
  <si>
    <t xml:space="preserve">back Deck thin end</t>
  </si>
  <si>
    <t xml:space="preserve">Back Deck light</t>
  </si>
  <si>
    <t xml:space="preserve">Back deck towel rail</t>
  </si>
  <si>
    <t xml:space="preserve">Pool Interior</t>
  </si>
  <si>
    <t>Zigbee</t>
  </si>
  <si>
    <t xml:space="preserve">pool wall, and the metal wall extender</t>
  </si>
  <si>
    <t xml:space="preserve">Powder ceiling</t>
  </si>
  <si>
    <t xml:space="preserve">Powder Room</t>
  </si>
  <si>
    <t xml:space="preserve">Powder anton</t>
  </si>
  <si>
    <t xml:space="preserve">Powder Fan</t>
  </si>
  <si>
    <t xml:space="preserve">Side Entry</t>
  </si>
  <si>
    <t xml:space="preserve">Side Entry</t>
  </si>
  <si>
    <t xml:space="preserve">Carport ceiling</t>
  </si>
  <si>
    <t xml:space="preserve">B studio exterior south</t>
  </si>
  <si>
    <t xml:space="preserve">Missing Driver</t>
  </si>
  <si>
    <t xml:space="preserve">side entry exterior, front of bike shed and letterbox</t>
  </si>
  <si>
    <t xml:space="preserve">Bike Shed</t>
  </si>
  <si>
    <t xml:space="preserve">Doesn't work</t>
  </si>
  <si>
    <t xml:space="preserve">top of stairs</t>
  </si>
  <si>
    <t xml:space="preserve">Above steel wall</t>
  </si>
  <si>
    <t>attic</t>
  </si>
  <si>
    <t/>
  </si>
  <si>
    <t xml:space="preserve">B studio exterior east</t>
  </si>
  <si>
    <t xml:space="preserve">External Air Intake</t>
  </si>
  <si>
    <t xml:space="preserve">Moved to melissa's studio</t>
  </si>
  <si>
    <t xml:space="preserve">M studio balcony</t>
  </si>
  <si>
    <t xml:space="preserve">Is this smiley?</t>
  </si>
  <si>
    <t xml:space="preserve">Bed3 Downlight near window</t>
  </si>
  <si>
    <t xml:space="preserve">Master bath towel rail heater</t>
  </si>
  <si>
    <t>Mystery</t>
  </si>
  <si>
    <t xml:space="preserve">no 1 inside bedrom to do sot on steel curtain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</si>
</sst>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0.000000"/>
      <color theme="1"/>
      <name val="Arial"/>
      <scheme val="minor"/>
    </font>
    <font>
      <b/>
      <sz val="10.000000"/>
      <name val="Arial"/>
    </font>
    <font>
      <sz val="10.00000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0">
    <xf fontId="0" fillId="0" borderId="0" numFmtId="0" xfId="0"/>
    <xf fontId="1" fillId="0" borderId="0" numFmtId="0" xfId="0" applyFont="1"/>
    <xf fontId="0" fillId="0" borderId="0" numFmtId="49" xfId="0" applyNumberFormat="1"/>
    <xf fontId="0" fillId="0" borderId="0" numFmtId="0" xfId="0"/>
    <xf fontId="2" fillId="0" borderId="0" numFmtId="0" xfId="0" applyFont="1"/>
    <xf fontId="0" fillId="0" borderId="0" numFmtId="49" xfId="0" applyNumberFormat="1" quotePrefix="1"/>
    <xf fontId="0" fillId="0" borderId="0" numFmtId="1" xfId="0" applyNumberFormat="1"/>
    <xf fontId="0" fillId="0" borderId="0" numFmtId="0" xfId="0"/>
    <xf fontId="0" fillId="0" borderId="0" numFmtId="0" xfId="0"/>
    <xf fontId="0" fillId="0" borderId="0" numFmtId="49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Theme1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Theme1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Theme1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2" activeCellId="0" sqref="A12"/>
    </sheetView>
  </sheetViews>
  <sheetFormatPr baseColWidth="10" defaultColWidth="14.5" defaultRowHeight="13"/>
  <cols>
    <col customWidth="1" min="1" max="1" width="24.5"/>
    <col customWidth="1" min="2" max="2" width="27.5"/>
    <col customWidth="1" min="3" max="3" width="3.6640625"/>
    <col customWidth="1" min="4" max="4" width="2.83203125"/>
    <col customWidth="1" min="5" max="5" width="3.5"/>
    <col customWidth="1" min="6" max="6" width="3.83203125"/>
    <col customWidth="1" min="7" max="7" width="3.1640625"/>
  </cols>
  <sheetData>
    <row r="1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</row>
    <row r="2">
      <c r="A2" t="s">
        <v>3</v>
      </c>
      <c r="B2">
        <v>0</v>
      </c>
      <c r="C2" s="2" t="s">
        <v>4</v>
      </c>
      <c r="D2">
        <v>5</v>
      </c>
      <c r="E2">
        <v>4</v>
      </c>
      <c r="F2">
        <v>3</v>
      </c>
      <c r="G2">
        <v>1</v>
      </c>
    </row>
    <row r="3">
      <c r="A3" t="s">
        <v>5</v>
      </c>
      <c r="B3">
        <v>1</v>
      </c>
      <c r="C3" s="2" t="s">
        <v>4</v>
      </c>
      <c r="D3">
        <v>5</v>
      </c>
      <c r="E3">
        <v>4</v>
      </c>
    </row>
    <row r="4">
      <c r="A4" t="s">
        <v>6</v>
      </c>
      <c r="B4">
        <v>2</v>
      </c>
      <c r="C4" s="2" t="s">
        <v>4</v>
      </c>
      <c r="D4">
        <v>5</v>
      </c>
      <c r="E4">
        <v>3</v>
      </c>
      <c r="F4">
        <v>4</v>
      </c>
      <c r="G4">
        <v>0</v>
      </c>
    </row>
    <row r="5">
      <c r="A5" s="3" t="s">
        <v>7</v>
      </c>
      <c r="B5">
        <v>17</v>
      </c>
      <c r="C5" s="2" t="s">
        <v>8</v>
      </c>
      <c r="D5">
        <v>1</v>
      </c>
      <c r="E5">
        <v>2</v>
      </c>
      <c r="F5">
        <v>3</v>
      </c>
      <c r="G5">
        <v>4</v>
      </c>
    </row>
    <row r="6">
      <c r="A6" s="4" t="s">
        <v>9</v>
      </c>
      <c r="B6">
        <v>3</v>
      </c>
      <c r="C6" s="2" t="s">
        <v>10</v>
      </c>
      <c r="D6">
        <v>1</v>
      </c>
      <c r="E6">
        <v>3</v>
      </c>
    </row>
    <row r="7">
      <c r="A7" t="s">
        <v>11</v>
      </c>
      <c r="B7">
        <v>4</v>
      </c>
      <c r="C7" s="5" t="s">
        <v>8</v>
      </c>
      <c r="D7">
        <v>1</v>
      </c>
      <c r="E7">
        <v>2</v>
      </c>
      <c r="F7">
        <v>5</v>
      </c>
      <c r="G7">
        <v>4</v>
      </c>
    </row>
    <row r="8">
      <c r="A8" t="s">
        <v>12</v>
      </c>
      <c r="B8">
        <v>5</v>
      </c>
      <c r="C8" s="5" t="s">
        <v>8</v>
      </c>
      <c r="D8">
        <v>3</v>
      </c>
      <c r="E8">
        <v>4</v>
      </c>
      <c r="F8">
        <v>5</v>
      </c>
      <c r="G8">
        <v>2</v>
      </c>
    </row>
    <row r="9">
      <c r="A9" t="s">
        <v>13</v>
      </c>
      <c r="B9">
        <v>6</v>
      </c>
      <c r="C9" s="2" t="s">
        <v>14</v>
      </c>
      <c r="D9">
        <v>3</v>
      </c>
      <c r="E9">
        <v>5</v>
      </c>
      <c r="F9">
        <v>1</v>
      </c>
    </row>
    <row r="10">
      <c r="A10" t="s">
        <v>15</v>
      </c>
      <c r="B10">
        <v>7</v>
      </c>
      <c r="C10" s="2" t="s">
        <v>4</v>
      </c>
      <c r="D10">
        <v>5</v>
      </c>
      <c r="E10">
        <v>4</v>
      </c>
      <c r="F10">
        <v>3</v>
      </c>
    </row>
    <row r="11">
      <c r="A11" t="s">
        <v>16</v>
      </c>
      <c r="B11">
        <v>8</v>
      </c>
      <c r="C11" s="2" t="s">
        <v>17</v>
      </c>
      <c r="D11">
        <v>5</v>
      </c>
      <c r="E11">
        <v>4</v>
      </c>
      <c r="F11">
        <v>3</v>
      </c>
    </row>
    <row r="12">
      <c r="A12" t="s">
        <v>18</v>
      </c>
      <c r="B12">
        <v>9</v>
      </c>
      <c r="C12" s="2" t="s">
        <v>10</v>
      </c>
      <c r="D12">
        <v>3</v>
      </c>
      <c r="E12">
        <v>1</v>
      </c>
    </row>
    <row r="13">
      <c r="A13" t="s">
        <v>19</v>
      </c>
      <c r="B13">
        <v>10</v>
      </c>
      <c r="C13" s="2" t="s">
        <v>20</v>
      </c>
      <c r="D13">
        <v>1</v>
      </c>
      <c r="E13">
        <v>5</v>
      </c>
    </row>
    <row r="14">
      <c r="A14" t="s">
        <v>21</v>
      </c>
      <c r="B14">
        <v>11</v>
      </c>
      <c r="C14" s="2" t="s">
        <v>20</v>
      </c>
      <c r="D14">
        <v>1</v>
      </c>
      <c r="E14">
        <v>5</v>
      </c>
      <c r="F14">
        <v>4</v>
      </c>
      <c r="G14">
        <v>2</v>
      </c>
    </row>
    <row r="15">
      <c r="A15" t="s">
        <v>22</v>
      </c>
      <c r="B15">
        <v>12</v>
      </c>
      <c r="C15" s="2" t="s">
        <v>20</v>
      </c>
      <c r="D15">
        <v>1</v>
      </c>
      <c r="E15">
        <v>5</v>
      </c>
    </row>
    <row r="16">
      <c r="A16" t="s">
        <v>23</v>
      </c>
      <c r="B16">
        <v>13</v>
      </c>
      <c r="C16" s="2" t="s">
        <v>17</v>
      </c>
      <c r="D16">
        <v>3</v>
      </c>
      <c r="E16">
        <v>5</v>
      </c>
      <c r="F16">
        <v>0</v>
      </c>
    </row>
    <row r="17">
      <c r="A17" t="s">
        <v>24</v>
      </c>
      <c r="B17">
        <v>14</v>
      </c>
      <c r="C17" s="5" t="s">
        <v>8</v>
      </c>
      <c r="D17">
        <v>5</v>
      </c>
      <c r="E17">
        <v>3</v>
      </c>
      <c r="F17">
        <v>1</v>
      </c>
    </row>
    <row r="18">
      <c r="A18" t="s">
        <v>25</v>
      </c>
      <c r="B18">
        <v>15</v>
      </c>
      <c r="C18" s="2" t="s">
        <v>4</v>
      </c>
      <c r="D18">
        <v>5</v>
      </c>
      <c r="E18">
        <v>1</v>
      </c>
      <c r="F18">
        <v>3</v>
      </c>
      <c r="G18">
        <v>4</v>
      </c>
    </row>
    <row r="19">
      <c r="A19" t="s">
        <v>26</v>
      </c>
      <c r="B19">
        <v>16</v>
      </c>
      <c r="C19" s="2" t="s">
        <v>17</v>
      </c>
      <c r="D19">
        <v>3</v>
      </c>
    </row>
    <row r="20">
      <c r="A20" t="s">
        <v>27</v>
      </c>
      <c r="B20">
        <v>17</v>
      </c>
      <c r="C20" s="2" t="s">
        <v>10</v>
      </c>
    </row>
    <row r="21">
      <c r="A21" t="s">
        <v>28</v>
      </c>
      <c r="B21">
        <v>18</v>
      </c>
      <c r="C21" s="2" t="s">
        <v>14</v>
      </c>
      <c r="D21">
        <v>3</v>
      </c>
      <c r="E21">
        <v>2</v>
      </c>
      <c r="F21">
        <v>1</v>
      </c>
    </row>
    <row r="22">
      <c r="A22" t="s">
        <v>29</v>
      </c>
      <c r="B22">
        <v>19</v>
      </c>
      <c r="C22" s="2" t="s">
        <v>14</v>
      </c>
      <c r="D22">
        <v>5</v>
      </c>
      <c r="E22">
        <v>3</v>
      </c>
      <c r="F22">
        <v>1</v>
      </c>
    </row>
    <row r="23">
      <c r="A23" s="3" t="s">
        <v>30</v>
      </c>
      <c r="B23">
        <v>20</v>
      </c>
      <c r="C23" s="2" t="s">
        <v>31</v>
      </c>
      <c r="H23" s="3"/>
    </row>
    <row r="24">
      <c r="A24" s="3" t="s">
        <v>32</v>
      </c>
      <c r="B24">
        <v>20</v>
      </c>
      <c r="C24" s="2" t="s">
        <v>8</v>
      </c>
      <c r="D24">
        <v>1</v>
      </c>
      <c r="E24">
        <v>2</v>
      </c>
      <c r="F24">
        <v>3</v>
      </c>
      <c r="H24" s="3"/>
    </row>
    <row r="25">
      <c r="A25" t="s">
        <v>33</v>
      </c>
      <c r="B25">
        <v>21</v>
      </c>
      <c r="C25" s="2" t="s">
        <v>17</v>
      </c>
      <c r="D25">
        <v>0</v>
      </c>
      <c r="E25">
        <v>3</v>
      </c>
      <c r="F25">
        <v>4</v>
      </c>
      <c r="G25">
        <v>5</v>
      </c>
    </row>
    <row r="26">
      <c r="A26" t="s">
        <v>34</v>
      </c>
      <c r="B26">
        <v>22</v>
      </c>
      <c r="C26" s="5" t="s">
        <v>8</v>
      </c>
      <c r="D26">
        <v>1</v>
      </c>
      <c r="E26">
        <v>2</v>
      </c>
      <c r="F26">
        <v>3</v>
      </c>
      <c r="G26">
        <v>4</v>
      </c>
    </row>
    <row r="27">
      <c r="A27" t="s">
        <v>35</v>
      </c>
      <c r="B27">
        <v>23</v>
      </c>
      <c r="C27" s="5" t="s">
        <v>8</v>
      </c>
      <c r="D27">
        <v>1</v>
      </c>
      <c r="E27">
        <v>2</v>
      </c>
      <c r="H27" s="3"/>
    </row>
    <row r="28">
      <c r="C28" s="2"/>
    </row>
    <row r="29">
      <c r="C29" s="2"/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5" activeCellId="0" sqref="A15"/>
    </sheetView>
  </sheetViews>
  <sheetFormatPr baseColWidth="10" defaultColWidth="14.5" defaultRowHeight="13"/>
  <cols>
    <col customWidth="1" min="2" max="2" width="19.33203125"/>
    <col customWidth="1" min="3" max="3" width="38.6640625"/>
  </cols>
  <sheetData>
    <row r="1">
      <c r="A1" s="1" t="s">
        <v>36</v>
      </c>
      <c r="B1" s="1" t="s">
        <v>37</v>
      </c>
      <c r="C1" s="1" t="s">
        <v>38</v>
      </c>
      <c r="D1" s="1" t="s">
        <v>39</v>
      </c>
    </row>
    <row r="2">
      <c r="A2">
        <v>1</v>
      </c>
      <c r="B2">
        <v>2</v>
      </c>
      <c r="C2" t="s">
        <v>40</v>
      </c>
    </row>
    <row r="3">
      <c r="A3">
        <v>2</v>
      </c>
      <c r="B3">
        <v>5</v>
      </c>
      <c r="C3" t="s">
        <v>41</v>
      </c>
    </row>
    <row r="4">
      <c r="A4">
        <v>3</v>
      </c>
      <c r="B4">
        <v>17</v>
      </c>
      <c r="C4" t="s">
        <v>42</v>
      </c>
    </row>
    <row r="5">
      <c r="A5">
        <v>4</v>
      </c>
      <c r="C5" t="s">
        <v>43</v>
      </c>
    </row>
    <row r="6">
      <c r="A6">
        <v>5</v>
      </c>
      <c r="B6">
        <v>20</v>
      </c>
      <c r="C6" t="s">
        <v>44</v>
      </c>
    </row>
    <row r="7">
      <c r="A7">
        <v>6</v>
      </c>
      <c r="C7" t="s">
        <v>43</v>
      </c>
    </row>
    <row r="8">
      <c r="A8">
        <v>7</v>
      </c>
      <c r="C8" t="s">
        <v>45</v>
      </c>
    </row>
    <row r="9">
      <c r="A9">
        <v>8</v>
      </c>
      <c r="B9">
        <v>10</v>
      </c>
      <c r="C9" t="s">
        <v>46</v>
      </c>
    </row>
    <row r="10">
      <c r="A10">
        <v>9</v>
      </c>
    </row>
    <row r="11">
      <c r="A11">
        <v>10</v>
      </c>
      <c r="B11">
        <v>19</v>
      </c>
      <c r="C11" t="s">
        <v>47</v>
      </c>
    </row>
    <row r="12">
      <c r="A12">
        <v>11</v>
      </c>
      <c r="B12">
        <v>12</v>
      </c>
      <c r="C12" t="s">
        <v>48</v>
      </c>
    </row>
    <row r="13">
      <c r="A13">
        <v>12</v>
      </c>
      <c r="B13">
        <v>13</v>
      </c>
      <c r="C13" t="s">
        <v>49</v>
      </c>
      <c r="E13">
        <f>VALUE(J25)*256+VALUE(K25)</f>
        <v>0</v>
      </c>
    </row>
    <row r="14">
      <c r="A14">
        <v>13</v>
      </c>
      <c r="C14" t="s">
        <v>50</v>
      </c>
    </row>
    <row r="15">
      <c r="A15">
        <v>14</v>
      </c>
      <c r="C15" t="s">
        <v>51</v>
      </c>
    </row>
    <row r="16">
      <c r="A16">
        <v>15</v>
      </c>
    </row>
    <row r="17">
      <c r="A17">
        <v>16</v>
      </c>
      <c r="B17">
        <v>21</v>
      </c>
      <c r="C17" t="s">
        <v>52</v>
      </c>
    </row>
    <row r="18">
      <c r="A18">
        <v>17</v>
      </c>
      <c r="B18">
        <v>18</v>
      </c>
      <c r="C18" t="s">
        <v>53</v>
      </c>
    </row>
    <row r="19">
      <c r="A19">
        <v>18</v>
      </c>
      <c r="B19">
        <v>22</v>
      </c>
      <c r="C19" t="s">
        <v>54</v>
      </c>
    </row>
    <row r="20">
      <c r="A20">
        <v>19</v>
      </c>
      <c r="B20" t="s">
        <v>55</v>
      </c>
      <c r="C20" t="s">
        <v>56</v>
      </c>
    </row>
    <row r="21">
      <c r="A21">
        <v>20</v>
      </c>
      <c r="B21">
        <v>16</v>
      </c>
      <c r="C21" t="s">
        <v>57</v>
      </c>
    </row>
    <row r="22">
      <c r="A22">
        <v>21</v>
      </c>
      <c r="B22" t="s">
        <v>55</v>
      </c>
      <c r="C22" t="s">
        <v>58</v>
      </c>
    </row>
    <row r="23">
      <c r="A23">
        <v>22</v>
      </c>
      <c r="B23">
        <v>14</v>
      </c>
      <c r="C23" t="s">
        <v>59</v>
      </c>
      <c r="D23" t="s">
        <v>60</v>
      </c>
    </row>
    <row r="24">
      <c r="A24">
        <v>23</v>
      </c>
    </row>
    <row r="25">
      <c r="A25">
        <v>24</v>
      </c>
      <c r="B25">
        <v>23</v>
      </c>
      <c r="C25" t="s">
        <v>61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55" zoomScale="120" workbookViewId="0">
      <selection activeCell="D73" activeCellId="0" sqref="D73"/>
    </sheetView>
  </sheetViews>
  <sheetFormatPr baseColWidth="10" defaultColWidth="14.5" defaultRowHeight="12.75"/>
  <cols>
    <col customWidth="1" min="1" max="1" width="42.6640625"/>
    <col customWidth="1" min="5" max="5" width="18.83203125"/>
    <col customWidth="1" min="6" max="6" width="4.83203125"/>
    <col customWidth="1" min="7" max="7" width="17.1640625"/>
    <col customWidth="1" min="8" max="8" width="3.5"/>
    <col customWidth="1" min="9" max="9" width="17"/>
    <col customWidth="1" min="10" max="10" width="4.83203125"/>
    <col customWidth="1" min="11" max="11" width="24.5"/>
    <col customWidth="1" min="12" max="12" width="27.1640625"/>
    <col customWidth="1" min="13" max="13" width="18.33203125"/>
  </cols>
  <sheetData>
    <row r="1">
      <c r="A1" s="1" t="s">
        <v>62</v>
      </c>
      <c r="B1" s="1" t="s">
        <v>63</v>
      </c>
      <c r="C1" s="1" t="s">
        <v>64</v>
      </c>
      <c r="D1" s="1" t="s">
        <v>65</v>
      </c>
      <c r="E1" s="1" t="s">
        <v>66</v>
      </c>
      <c r="F1" s="1" t="s">
        <v>67</v>
      </c>
      <c r="G1" s="1" t="s">
        <v>68</v>
      </c>
      <c r="H1" s="1" t="s">
        <v>69</v>
      </c>
      <c r="I1" s="1" t="s">
        <v>70</v>
      </c>
      <c r="J1" s="1" t="s">
        <v>71</v>
      </c>
      <c r="K1" s="1" t="s">
        <v>72</v>
      </c>
      <c r="L1" s="1"/>
    </row>
    <row r="2">
      <c r="A2" t="s">
        <v>73</v>
      </c>
      <c r="B2" t="s">
        <v>74</v>
      </c>
      <c r="C2">
        <v>1</v>
      </c>
      <c r="D2">
        <v>28</v>
      </c>
      <c r="E2" t="s">
        <v>27</v>
      </c>
      <c r="F2">
        <v>0</v>
      </c>
      <c r="H2" s="2"/>
      <c r="J2" s="2"/>
      <c r="L2" t="str">
        <f ca="1">IF(($E2="")+($F2=""),"",_xlfn.CONCAT("bindings.add(",OFFSET('Switch Positions'!$A$1,MATCH($E2,'Switch Positions'!A:A,0)-1,1),",",OFFSET('Switch Positions'!$A$1,MATCH($E2,'Switch Positions'!A:A,0)-1,2+$F2),", ",$C2,", ",$D2,")"))</f>
        <v xml:space="preserve">bindings.add(17,5, 1, 28)</v>
      </c>
    </row>
    <row r="3">
      <c r="A3" t="s">
        <v>75</v>
      </c>
      <c r="B3" t="s">
        <v>76</v>
      </c>
      <c r="C3">
        <v>1</v>
      </c>
      <c r="D3">
        <v>13</v>
      </c>
      <c r="E3" t="s">
        <v>27</v>
      </c>
      <c r="F3" s="6">
        <v>0</v>
      </c>
      <c r="H3" s="6"/>
      <c r="J3" s="6"/>
      <c r="L3" t="str">
        <f ca="1">IF(($E3="")+($F3=""),"",_xlfn.CONCAT("bindings.add(",OFFSET('Switch Positions'!$A$1,MATCH($E3,'Switch Positions'!A:A,0)-1,1),",",OFFSET('Switch Positions'!$A$1,MATCH($E3,'Switch Positions'!A:A,0)-1,2+$F3),", ",$C3,", ",$D3,")"))</f>
        <v xml:space="preserve">bindings.add(17,5, 1, 13)</v>
      </c>
    </row>
    <row r="4">
      <c r="A4" t="s">
        <v>77</v>
      </c>
      <c r="B4" t="s">
        <v>78</v>
      </c>
      <c r="C4">
        <v>2</v>
      </c>
      <c r="D4">
        <v>6</v>
      </c>
      <c r="E4" t="s">
        <v>13</v>
      </c>
      <c r="F4" s="6">
        <v>0</v>
      </c>
      <c r="H4" s="6"/>
      <c r="J4" s="6"/>
      <c r="L4" t="str">
        <f ca="1">IF(($E4="")+($F4=""),"",_xlfn.CONCAT("bindings.add(",OFFSET('Switch Positions'!$A$1,MATCH($E4,'Switch Positions'!A:A,0)-1,1),",",OFFSET('Switch Positions'!$A$1,MATCH($E4,'Switch Positions'!A:A,0)-1,2+$F4),", ",$C4,", ",$D4,")"))</f>
        <v xml:space="preserve">bindings.add(6,4, 2, 6)</v>
      </c>
    </row>
    <row r="5">
      <c r="A5" t="s">
        <v>79</v>
      </c>
      <c r="B5" t="s">
        <v>78</v>
      </c>
      <c r="C5">
        <v>2</v>
      </c>
      <c r="D5">
        <v>13</v>
      </c>
      <c r="E5" t="s">
        <v>13</v>
      </c>
      <c r="F5" s="6">
        <v>1</v>
      </c>
      <c r="H5" s="6"/>
      <c r="J5" s="6"/>
      <c r="L5" t="str">
        <f ca="1">IF(($E5="")+($F5=""),"",_xlfn.CONCAT("bindings.add(",OFFSET('Switch Positions'!$A$1,MATCH($E5,'Switch Positions'!A:A,0)-1,1),",",OFFSET('Switch Positions'!$A$1,MATCH($E5,'Switch Positions'!A:A,0)-1,2+$F5),", ",$C5,", ",$D5,")"))</f>
        <v xml:space="preserve">bindings.add(6,3, 2, 13)</v>
      </c>
    </row>
    <row r="6">
      <c r="A6" t="s">
        <v>80</v>
      </c>
      <c r="B6" t="s">
        <v>78</v>
      </c>
      <c r="C6">
        <v>2</v>
      </c>
      <c r="D6">
        <v>12</v>
      </c>
      <c r="E6" t="s">
        <v>13</v>
      </c>
      <c r="F6" s="6">
        <v>2</v>
      </c>
      <c r="H6" s="6"/>
      <c r="J6" s="6"/>
      <c r="L6" t="str">
        <f ca="1">IF(($E6="")+($F6=""),"",_xlfn.CONCAT("bindings.add(",OFFSET('Switch Positions'!$A$1,MATCH($E6,'Switch Positions'!A:A,0)-1,1),",",OFFSET('Switch Positions'!$A$1,MATCH($E6,'Switch Positions'!A:A,0)-1,2+$F6),", ",$C6,", ",$D6,")"))</f>
        <v xml:space="preserve">bindings.add(6,5, 2, 12)</v>
      </c>
    </row>
    <row r="7">
      <c r="A7" t="s">
        <v>81</v>
      </c>
      <c r="B7" t="s">
        <v>78</v>
      </c>
      <c r="C7">
        <v>2</v>
      </c>
      <c r="D7">
        <v>16</v>
      </c>
      <c r="E7" t="s">
        <v>13</v>
      </c>
      <c r="F7" s="6">
        <v>3</v>
      </c>
      <c r="H7" s="6"/>
      <c r="J7" s="6"/>
      <c r="L7" t="str">
        <f ca="1">IF(($E7="")+($F7=""),"",_xlfn.CONCAT("bindings.add(",OFFSET('Switch Positions'!$A$1,MATCH($E7,'Switch Positions'!A:A,0)-1,1),",",OFFSET('Switch Positions'!$A$1,MATCH($E7,'Switch Positions'!A:A,0)-1,2+$F7),", ",$C7,", ",$D7,")"))</f>
        <v xml:space="preserve">bindings.add(6,1, 2, 16)</v>
      </c>
    </row>
    <row r="8">
      <c r="A8" t="s">
        <v>82</v>
      </c>
      <c r="B8" t="s">
        <v>78</v>
      </c>
      <c r="C8">
        <v>2</v>
      </c>
      <c r="D8">
        <v>14</v>
      </c>
      <c r="E8" t="s">
        <v>13</v>
      </c>
      <c r="F8" s="6">
        <v>3</v>
      </c>
      <c r="H8" s="6"/>
      <c r="J8" s="6"/>
      <c r="L8" t="str">
        <f ca="1">IF(($E8="")+($F8=""),"",_xlfn.CONCAT("bindings.add(",OFFSET('Switch Positions'!$A$1,MATCH($E8,'Switch Positions'!A:A,0)-1,1),",",OFFSET('Switch Positions'!$A$1,MATCH($E8,'Switch Positions'!A:A,0)-1,2+$F8),", ",$C8,", ",$D8,")"))</f>
        <v xml:space="preserve">bindings.add(6,1, 2, 14)</v>
      </c>
    </row>
    <row r="9">
      <c r="A9" t="s">
        <v>83</v>
      </c>
      <c r="B9" t="s">
        <v>84</v>
      </c>
      <c r="C9">
        <v>1</v>
      </c>
      <c r="D9">
        <v>17</v>
      </c>
      <c r="E9" t="s">
        <v>23</v>
      </c>
      <c r="F9" s="6">
        <v>0</v>
      </c>
      <c r="G9" t="s">
        <v>24</v>
      </c>
      <c r="H9" s="6">
        <v>0</v>
      </c>
      <c r="J9" s="6"/>
      <c r="L9" t="str">
        <f ca="1">IF(($E9="")+($F9=""),"",_xlfn.CONCAT("bindings.add(",OFFSET('Switch Positions'!$A$1,MATCH($E9,'Switch Positions'!A:A,0)-1,1),",",OFFSET('Switch Positions'!$A$1,MATCH($E9,'Switch Positions'!A:A,0)-1,2+$F9),", ",$C9,", ",$D9,")"))</f>
        <v xml:space="preserve">bindings.add(13,1, 1, 17)</v>
      </c>
    </row>
    <row r="10">
      <c r="A10" t="s">
        <v>85</v>
      </c>
      <c r="B10" t="s">
        <v>84</v>
      </c>
      <c r="C10">
        <v>3</v>
      </c>
      <c r="D10">
        <v>0</v>
      </c>
      <c r="E10" t="s">
        <v>23</v>
      </c>
      <c r="F10" s="6">
        <v>1</v>
      </c>
      <c r="G10" t="s">
        <v>24</v>
      </c>
      <c r="H10" s="6">
        <v>1</v>
      </c>
      <c r="J10" s="6"/>
      <c r="L10" t="str">
        <f ca="1">IF(($E10="")+($F10=""),"",_xlfn.CONCAT("bindings.add(",OFFSET('Switch Positions'!$A$1,MATCH($E10,'Switch Positions'!A:A,0)-1,1),",",OFFSET('Switch Positions'!$A$1,MATCH($E10,'Switch Positions'!A:A,0)-1,2+$F10),", ",$C10,", ",$D10,")"))</f>
        <v xml:space="preserve">bindings.add(13,3, 3, 0)</v>
      </c>
    </row>
    <row r="11">
      <c r="A11" t="s">
        <v>86</v>
      </c>
      <c r="B11" t="s">
        <v>84</v>
      </c>
      <c r="C11">
        <v>1</v>
      </c>
      <c r="D11">
        <v>29</v>
      </c>
      <c r="E11" t="s">
        <v>23</v>
      </c>
      <c r="F11" s="6">
        <v>2</v>
      </c>
      <c r="G11" t="s">
        <v>24</v>
      </c>
      <c r="H11" s="6">
        <v>2</v>
      </c>
      <c r="J11" s="6"/>
      <c r="L11" t="str">
        <f ca="1">IF(($E11="")+($F11=""),"",_xlfn.CONCAT("bindings.add(",OFFSET('Switch Positions'!$A$1,MATCH($E11,'Switch Positions'!A:A,0)-1,1),",",OFFSET('Switch Positions'!$A$1,MATCH($E11,'Switch Positions'!A:A,0)-1,2+$F11),", ",$C11,", ",$D11,")"))</f>
        <v xml:space="preserve">bindings.add(13,5, 1, 29)</v>
      </c>
      <c r="M11" t="e">
        <f ca="1">IF(ISBLANK(#REF!),"",_xlfn.CONCAT("bindings.add(",#REF!,",",INDIRECT(ADDRESS(#REF!+2,H11+4,1,TRUE,"Switch Positions")),", ",C11,", ",D11,")"))</f>
        <v>#REF!</v>
      </c>
    </row>
    <row r="12">
      <c r="A12" t="s">
        <v>87</v>
      </c>
      <c r="B12" t="s">
        <v>84</v>
      </c>
      <c r="C12">
        <v>3</v>
      </c>
      <c r="D12">
        <v>24</v>
      </c>
      <c r="E12" t="s">
        <v>23</v>
      </c>
      <c r="F12" s="6">
        <v>3</v>
      </c>
      <c r="G12" t="s">
        <v>24</v>
      </c>
      <c r="H12" s="6">
        <v>3</v>
      </c>
      <c r="J12" s="6"/>
      <c r="L12" t="str">
        <f ca="1">IF(($E12="")+($F12=""),"",_xlfn.CONCAT("bindings.add(",OFFSET('Switch Positions'!$A$1,MATCH($E12,'Switch Positions'!A:A,0)-1,1),",",OFFSET('Switch Positions'!$A$1,MATCH($E12,'Switch Positions'!A:A,0)-1,2+$F12),", ",$C12,", ",$D12,")"))</f>
        <v xml:space="preserve">bindings.add(13,0, 3, 24)</v>
      </c>
    </row>
    <row r="13">
      <c r="A13" t="s">
        <v>88</v>
      </c>
      <c r="B13" t="s">
        <v>22</v>
      </c>
      <c r="C13">
        <v>3</v>
      </c>
      <c r="D13">
        <v>3</v>
      </c>
      <c r="E13" t="s">
        <v>22</v>
      </c>
      <c r="F13" s="6">
        <v>0</v>
      </c>
      <c r="H13" s="6"/>
      <c r="J13" s="6"/>
      <c r="L13" t="str">
        <f ca="1">IF(($E13="")+($F13=""),"",_xlfn.CONCAT("bindings.add(",OFFSET('Switch Positions'!$A$1,MATCH($E13,'Switch Positions'!A:A,0)-1,1),",",OFFSET('Switch Positions'!$A$1,MATCH($E13,'Switch Positions'!A:A,0)-1,2+$F13),", ",$C13,", ",$D13,")"))</f>
        <v xml:space="preserve">bindings.add(12,3, 3, 3)</v>
      </c>
    </row>
    <row r="14">
      <c r="A14" t="s">
        <v>89</v>
      </c>
      <c r="B14" t="s">
        <v>22</v>
      </c>
      <c r="C14">
        <v>3</v>
      </c>
      <c r="D14">
        <v>4</v>
      </c>
      <c r="E14" t="s">
        <v>22</v>
      </c>
      <c r="F14" s="6">
        <v>0</v>
      </c>
      <c r="H14" s="6"/>
      <c r="J14" s="6"/>
      <c r="L14" t="str">
        <f ca="1">IF(($E14="")+($F14=""),"",_xlfn.CONCAT("bindings.add(",OFFSET('Switch Positions'!$A$1,MATCH($E14,'Switch Positions'!A:A,0)-1,1),",",OFFSET('Switch Positions'!$A$1,MATCH($E14,'Switch Positions'!A:A,0)-1,2+$F14),", ",$C14,", ",$D14,")"))</f>
        <v xml:space="preserve">bindings.add(12,3, 3, 4)</v>
      </c>
    </row>
    <row r="15">
      <c r="A15" t="s">
        <v>90</v>
      </c>
      <c r="B15" t="s">
        <v>22</v>
      </c>
      <c r="C15">
        <v>3</v>
      </c>
      <c r="D15">
        <v>35</v>
      </c>
      <c r="E15" t="s">
        <v>22</v>
      </c>
      <c r="F15" s="6">
        <v>1</v>
      </c>
      <c r="H15" s="6"/>
      <c r="J15" s="6"/>
      <c r="L15" t="str">
        <f ca="1">IF(($E15="")+($F15=""),"",_xlfn.CONCAT("bindings.add(",OFFSET('Switch Positions'!$A$1,MATCH($E15,'Switch Positions'!A:A,0)-1,1),",",OFFSET('Switch Positions'!$A$1,MATCH($E15,'Switch Positions'!A:A,0)-1,2+$F15),", ",$C15,", ",$D15,")"))</f>
        <v xml:space="preserve">bindings.add(12,1, 3, 35)</v>
      </c>
    </row>
    <row r="16">
      <c r="A16" t="s">
        <v>91</v>
      </c>
      <c r="B16" t="s">
        <v>22</v>
      </c>
      <c r="C16">
        <v>3</v>
      </c>
      <c r="D16">
        <v>32</v>
      </c>
      <c r="E16" t="s">
        <v>22</v>
      </c>
      <c r="F16" s="6">
        <v>2</v>
      </c>
      <c r="H16" s="6"/>
      <c r="J16" s="6"/>
      <c r="L16" t="str">
        <f ca="1">IF(($E16="")+($F16=""),"",_xlfn.CONCAT("bindings.add(",OFFSET('Switch Positions'!$A$1,MATCH($E16,'Switch Positions'!A:A,0)-1,1),",",OFFSET('Switch Positions'!$A$1,MATCH($E16,'Switch Positions'!A:A,0)-1,2+$F16),", ",$C16,", ",$D16,")"))</f>
        <v xml:space="preserve">bindings.add(12,5, 3, 32)</v>
      </c>
    </row>
    <row r="17">
      <c r="A17" t="s">
        <v>92</v>
      </c>
      <c r="B17" t="s">
        <v>9</v>
      </c>
      <c r="E17" t="s">
        <v>9</v>
      </c>
      <c r="F17" s="6">
        <v>0</v>
      </c>
      <c r="G17" s="6"/>
      <c r="H17" s="6"/>
      <c r="I17" s="6"/>
      <c r="J17" s="6"/>
      <c r="K17" t="s">
        <v>93</v>
      </c>
      <c r="L17" t="str">
        <f ca="1">IF(($E17="")+($F17=""),"",_xlfn.CONCAT("bindings.add(",OFFSET('Switch Positions'!$A$1,MATCH($E17,'Switch Positions'!A:A,0)-1,1),",",OFFSET('Switch Positions'!$A$1,MATCH($E17,'Switch Positions'!A:A,0)-1,2+$F17),", ",$C17,", ",$D17,")"))</f>
        <v xml:space="preserve">bindings.add(3,5, , )</v>
      </c>
    </row>
    <row r="18">
      <c r="A18" t="s">
        <v>94</v>
      </c>
      <c r="B18" t="s">
        <v>9</v>
      </c>
      <c r="C18">
        <v>3</v>
      </c>
      <c r="D18">
        <v>10</v>
      </c>
      <c r="E18" t="s">
        <v>9</v>
      </c>
      <c r="F18" s="6">
        <v>0</v>
      </c>
      <c r="H18" s="6"/>
      <c r="J18" s="6"/>
      <c r="L18" t="str">
        <f ca="1">IF(($E18="")+($F18=""),"",_xlfn.CONCAT("bindings.add(",OFFSET('Switch Positions'!$A$1,MATCH($E18,'Switch Positions'!A:A,0)-1,1),",",OFFSET('Switch Positions'!$A$1,MATCH($E18,'Switch Positions'!A:A,0)-1,2+$F18),", ",$C18,", ",$D18,")"))</f>
        <v xml:space="preserve">bindings.add(3,5, 3, 10)</v>
      </c>
    </row>
    <row r="19">
      <c r="A19" t="s">
        <v>95</v>
      </c>
      <c r="B19" t="s">
        <v>9</v>
      </c>
      <c r="C19">
        <v>3</v>
      </c>
      <c r="D19">
        <v>18</v>
      </c>
      <c r="E19" t="s">
        <v>9</v>
      </c>
      <c r="F19" s="6">
        <v>1</v>
      </c>
      <c r="H19" s="6"/>
      <c r="J19" s="6"/>
      <c r="L19" t="str">
        <f ca="1">IF(($E19="")+($F19=""),"",_xlfn.CONCAT("bindings.add(",OFFSET('Switch Positions'!$A$1,MATCH($E19,'Switch Positions'!A:A,0)-1,1),",",OFFSET('Switch Positions'!$A$1,MATCH($E19,'Switch Positions'!A:A,0)-1,2+$F19),", ",$C19,", ",$D19,")"))</f>
        <v xml:space="preserve">bindings.add(3,1, 3, 18)</v>
      </c>
    </row>
    <row r="20">
      <c r="A20" t="s">
        <v>96</v>
      </c>
      <c r="B20" t="s">
        <v>9</v>
      </c>
      <c r="C20">
        <v>3</v>
      </c>
      <c r="D20">
        <v>11</v>
      </c>
      <c r="E20" t="s">
        <v>9</v>
      </c>
      <c r="F20" s="6">
        <v>2</v>
      </c>
      <c r="H20" s="6"/>
      <c r="J20" s="6"/>
      <c r="L20" t="str">
        <f ca="1">IF(($E20="")+($F20=""),"",_xlfn.CONCAT("bindings.add(",OFFSET('Switch Positions'!$A$1,MATCH($E20,'Switch Positions'!A:A,0)-1,1),",",OFFSET('Switch Positions'!$A$1,MATCH($E20,'Switch Positions'!A:A,0)-1,2+$F20),", ",$C20,", ",$D20,")"))</f>
        <v xml:space="preserve">bindings.add(3,3, 3, 11)</v>
      </c>
    </row>
    <row r="21">
      <c r="A21" t="s">
        <v>97</v>
      </c>
      <c r="B21" t="s">
        <v>26</v>
      </c>
      <c r="C21">
        <v>1</v>
      </c>
      <c r="D21">
        <v>1</v>
      </c>
      <c r="E21" t="s">
        <v>26</v>
      </c>
      <c r="F21" s="6">
        <v>0</v>
      </c>
      <c r="G21" t="s">
        <v>32</v>
      </c>
      <c r="H21" s="6">
        <v>3</v>
      </c>
      <c r="J21" s="6"/>
      <c r="L21" t="str">
        <f ca="1">IF(($E21="")+($F21=""),"",_xlfn.CONCAT("bindings.add(",OFFSET('Switch Positions'!$A$1,MATCH($E21,'Switch Positions'!A:A,0)-1,1),",",OFFSET('Switch Positions'!$A$1,MATCH($E21,'Switch Positions'!A:A,0)-1,2+$F21),", ",$C21,", ",$D21,")"))</f>
        <v xml:space="preserve">bindings.add(16,1, 1, 1)</v>
      </c>
    </row>
    <row r="22">
      <c r="A22" t="s">
        <v>98</v>
      </c>
      <c r="B22" t="s">
        <v>26</v>
      </c>
      <c r="C22">
        <v>1</v>
      </c>
      <c r="D22">
        <v>8</v>
      </c>
      <c r="E22" t="s">
        <v>26</v>
      </c>
      <c r="F22" s="6">
        <v>1</v>
      </c>
      <c r="H22" s="6"/>
      <c r="J22" s="6"/>
      <c r="L22" t="str">
        <f ca="1">IF(($E22="")+($F22=""),"",_xlfn.CONCAT("bindings.add(",OFFSET('Switch Positions'!$A$1,MATCH($E22,'Switch Positions'!A:A,0)-1,1),",",OFFSET('Switch Positions'!$A$1,MATCH($E22,'Switch Positions'!A:A,0)-1,2+$F22),", ",$C22,", ",$D22,")"))</f>
        <v xml:space="preserve">bindings.add(16,3, 1, 8)</v>
      </c>
    </row>
    <row r="23">
      <c r="A23" t="s">
        <v>99</v>
      </c>
      <c r="B23" t="s">
        <v>100</v>
      </c>
      <c r="C23">
        <v>3</v>
      </c>
      <c r="D23">
        <v>20</v>
      </c>
      <c r="E23" t="s">
        <v>25</v>
      </c>
      <c r="F23" s="6">
        <v>0</v>
      </c>
      <c r="H23" s="6"/>
      <c r="J23" s="6"/>
      <c r="L23" t="str">
        <f ca="1">IF(($E23="")+($F23=""),"",_xlfn.CONCAT("bindings.add(",OFFSET('Switch Positions'!$A$1,MATCH($E23,'Switch Positions'!A:A,0)-1,1),",",OFFSET('Switch Positions'!$A$1,MATCH($E23,'Switch Positions'!A:A,0)-1,2+$F23),", ",$C23,", ",$D23,")"))</f>
        <v xml:space="preserve">bindings.add(15,2, 3, 20)</v>
      </c>
    </row>
    <row r="24">
      <c r="A24" t="s">
        <v>101</v>
      </c>
      <c r="B24" t="s">
        <v>100</v>
      </c>
      <c r="E24" t="s">
        <v>25</v>
      </c>
      <c r="F24" s="6">
        <v>0</v>
      </c>
      <c r="H24" s="6"/>
      <c r="J24" s="6"/>
      <c r="K24" t="s">
        <v>102</v>
      </c>
      <c r="L24" t="str">
        <f ca="1">IF(($E24="")+($F24=""),"",_xlfn.CONCAT("bindings.add(",OFFSET('Switch Positions'!$A$1,MATCH($E24,'Switch Positions'!A:A,0)-1,1),",",OFFSET('Switch Positions'!$A$1,MATCH($E24,'Switch Positions'!A:A,0)-1,2+$F24),", ",$C24,", ",$D24,")"))</f>
        <v xml:space="preserve">bindings.add(15,2, , )</v>
      </c>
    </row>
    <row r="25">
      <c r="A25" t="s">
        <v>103</v>
      </c>
      <c r="B25" t="s">
        <v>100</v>
      </c>
      <c r="C25">
        <v>1</v>
      </c>
      <c r="D25">
        <v>25</v>
      </c>
      <c r="E25" t="s">
        <v>25</v>
      </c>
      <c r="F25" s="6">
        <v>2</v>
      </c>
      <c r="G25" t="s">
        <v>29</v>
      </c>
      <c r="H25" s="6">
        <v>2</v>
      </c>
      <c r="J25" s="6"/>
      <c r="L25" t="str">
        <f ca="1">IF(($E25="")+($F25=""),"",_xlfn.CONCAT("bindings.add(",OFFSET('Switch Positions'!$A$1,MATCH($E25,'Switch Positions'!A:A,0)-1,1),",",OFFSET('Switch Positions'!$A$1,MATCH($E25,'Switch Positions'!A:A,0)-1,2+$F25),", ",$C25,", ",$D25,")"))</f>
        <v xml:space="preserve">bindings.add(15,1, 1, 25)</v>
      </c>
    </row>
    <row r="26">
      <c r="A26" t="s">
        <v>104</v>
      </c>
      <c r="B26" t="s">
        <v>105</v>
      </c>
      <c r="E26" t="s">
        <v>25</v>
      </c>
      <c r="F26" s="6">
        <v>3</v>
      </c>
      <c r="H26" s="6"/>
      <c r="J26" s="6"/>
      <c r="L26" t="str">
        <f ca="1">IF(($E26="")+($F26=""),"",_xlfn.CONCAT("bindings.add(",OFFSET('Switch Positions'!$A$1,MATCH($E26,'Switch Positions'!A:A,0)-1,1),",",OFFSET('Switch Positions'!$A$1,MATCH($E26,'Switch Positions'!A:A,0)-1,2+$F26),", ",$C26,", ",$D26,")"))</f>
        <v xml:space="preserve">bindings.add(15,3, , )</v>
      </c>
    </row>
    <row r="27">
      <c r="A27" t="s">
        <v>106</v>
      </c>
      <c r="B27" t="s">
        <v>105</v>
      </c>
      <c r="C27">
        <v>1</v>
      </c>
      <c r="D27">
        <v>15</v>
      </c>
      <c r="E27" t="s">
        <v>25</v>
      </c>
      <c r="F27" s="6">
        <v>4</v>
      </c>
      <c r="H27" s="6"/>
      <c r="J27" s="6"/>
      <c r="L27" t="str">
        <f ca="1">IF(($E27="")+($F27=""),"",_xlfn.CONCAT("bindings.add(",OFFSET('Switch Positions'!$A$1,MATCH($E27,'Switch Positions'!A:A,0)-1,1),",",OFFSET('Switch Positions'!$A$1,MATCH($E27,'Switch Positions'!A:A,0)-1,2+$F27),", ",$C27,", ",$D27,")"))</f>
        <v xml:space="preserve">bindings.add(15,4, 1, 15)</v>
      </c>
    </row>
    <row r="28">
      <c r="A28" t="s">
        <v>107</v>
      </c>
      <c r="B28" t="s">
        <v>108</v>
      </c>
      <c r="C28">
        <v>3</v>
      </c>
      <c r="D28">
        <v>14</v>
      </c>
      <c r="E28" t="s">
        <v>15</v>
      </c>
      <c r="F28" s="6">
        <v>0</v>
      </c>
      <c r="H28" s="6"/>
      <c r="J28" s="6"/>
      <c r="L28" t="str">
        <f ca="1">IF(($E28="")+($F28=""),"",_xlfn.CONCAT("bindings.add(",OFFSET('Switch Positions'!$A$1,MATCH($E28,'Switch Positions'!A:A,0)-1,1),",",OFFSET('Switch Positions'!$A$1,MATCH($E28,'Switch Positions'!A:A,0)-1,2+$F28),", ",$C28,", ",$D28,")"))</f>
        <v xml:space="preserve">bindings.add(7,2, 3, 14)</v>
      </c>
    </row>
    <row r="29">
      <c r="A29" t="s">
        <v>109</v>
      </c>
      <c r="B29" t="s">
        <v>108</v>
      </c>
      <c r="C29">
        <v>3</v>
      </c>
      <c r="D29">
        <v>7</v>
      </c>
      <c r="E29" t="s">
        <v>15</v>
      </c>
      <c r="F29" s="6">
        <v>0</v>
      </c>
      <c r="H29" s="6"/>
      <c r="J29" s="6"/>
      <c r="L29" t="str">
        <f ca="1">IF(($E29="")+($F29=""),"",_xlfn.CONCAT("bindings.add(",OFFSET('Switch Positions'!$A$1,MATCH($E29,'Switch Positions'!A:A,0)-1,1),",",OFFSET('Switch Positions'!$A$1,MATCH($E29,'Switch Positions'!A:A,0)-1,2+$F29),", ",$C29,", ",$D29,")"))</f>
        <v xml:space="preserve">bindings.add(7,2, 3, 7)</v>
      </c>
    </row>
    <row r="30">
      <c r="A30" t="s">
        <v>110</v>
      </c>
      <c r="B30" t="s">
        <v>100</v>
      </c>
      <c r="C30">
        <v>3</v>
      </c>
      <c r="D30">
        <v>38</v>
      </c>
      <c r="E30" t="s">
        <v>15</v>
      </c>
      <c r="F30" s="6">
        <v>1</v>
      </c>
      <c r="H30" s="6"/>
      <c r="J30" s="6"/>
      <c r="L30" t="str">
        <f ca="1">IF(($E30="")+($F30=""),"",_xlfn.CONCAT("bindings.add(",OFFSET('Switch Positions'!$A$1,MATCH($E30,'Switch Positions'!A:A,0)-1,1),",",OFFSET('Switch Positions'!$A$1,MATCH($E30,'Switch Positions'!A:A,0)-1,2+$F30),", ",$C30,", ",$D30,")"))</f>
        <v xml:space="preserve">bindings.add(7,5, 3, 38)</v>
      </c>
    </row>
    <row r="31">
      <c r="A31" t="s">
        <v>111</v>
      </c>
      <c r="B31" t="s">
        <v>100</v>
      </c>
      <c r="C31">
        <v>3</v>
      </c>
      <c r="D31">
        <v>40</v>
      </c>
      <c r="E31" t="s">
        <v>15</v>
      </c>
      <c r="F31" s="6">
        <v>1</v>
      </c>
      <c r="H31" s="6"/>
      <c r="J31" s="6"/>
      <c r="L31" t="str">
        <f ca="1">IF(($E31="")+($F31=""),"",_xlfn.CONCAT("bindings.add(",OFFSET('Switch Positions'!$A$1,MATCH($E31,'Switch Positions'!A:A,0)-1,1),",",OFFSET('Switch Positions'!$A$1,MATCH($E31,'Switch Positions'!A:A,0)-1,2+$F31),", ",$C31,", ",$D31,")"))</f>
        <v xml:space="preserve">bindings.add(7,5, 3, 40)</v>
      </c>
    </row>
    <row r="32">
      <c r="A32" t="s">
        <v>112</v>
      </c>
      <c r="B32" t="s">
        <v>100</v>
      </c>
      <c r="C32">
        <v>3</v>
      </c>
      <c r="D32">
        <v>31</v>
      </c>
      <c r="E32" t="s">
        <v>15</v>
      </c>
      <c r="F32" s="6">
        <v>2</v>
      </c>
      <c r="H32" s="6"/>
      <c r="J32" s="6"/>
      <c r="L32" t="str">
        <f ca="1">IF(($E32="")+($F32=""),"",_xlfn.CONCAT("bindings.add(",OFFSET('Switch Positions'!$A$1,MATCH($E32,'Switch Positions'!A:A,0)-1,1),",",OFFSET('Switch Positions'!$A$1,MATCH($E32,'Switch Positions'!A:A,0)-1,2+$F32),", ",$C32,", ",$D32,")"))</f>
        <v xml:space="preserve">bindings.add(7,4, 3, 31)</v>
      </c>
    </row>
    <row r="33">
      <c r="A33" t="s">
        <v>113</v>
      </c>
      <c r="B33" t="s">
        <v>100</v>
      </c>
      <c r="C33">
        <v>3</v>
      </c>
      <c r="D33">
        <v>2</v>
      </c>
      <c r="E33" t="s">
        <v>15</v>
      </c>
      <c r="F33" s="6">
        <v>2</v>
      </c>
      <c r="H33" s="6"/>
      <c r="J33" s="6"/>
      <c r="L33" t="str">
        <f ca="1">IF(($E33="")+($F33=""),"",_xlfn.CONCAT("bindings.add(",OFFSET('Switch Positions'!$A$1,MATCH($E33,'Switch Positions'!A:A,0)-1,1),",",OFFSET('Switch Positions'!$A$1,MATCH($E33,'Switch Positions'!A:A,0)-1,2+$F33),", ",$C33,", ",$D33,")"))</f>
        <v xml:space="preserve">bindings.add(7,4, 3, 2)</v>
      </c>
      <c r="N33" s="2"/>
    </row>
    <row r="34">
      <c r="A34" t="s">
        <v>114</v>
      </c>
      <c r="B34" t="s">
        <v>108</v>
      </c>
      <c r="C34">
        <v>3</v>
      </c>
      <c r="D34">
        <v>21</v>
      </c>
      <c r="E34" t="s">
        <v>11</v>
      </c>
      <c r="F34" s="6">
        <v>0</v>
      </c>
      <c r="H34" s="6"/>
      <c r="J34" s="6"/>
      <c r="L34" t="str">
        <f ca="1">IF(($E34="")+($F34=""),"",_xlfn.CONCAT("bindings.add(",OFFSET('Switch Positions'!$A$1,MATCH($E34,'Switch Positions'!A:A,0)-1,1),",",OFFSET('Switch Positions'!$A$1,MATCH($E34,'Switch Positions'!A:A,0)-1,2+$F34),", ",$C34,", ",$D34,")"))</f>
        <v xml:space="preserve">bindings.add(4,0, 3, 21)</v>
      </c>
    </row>
    <row r="35">
      <c r="A35" s="7" t="s">
        <v>115</v>
      </c>
      <c r="B35" t="s">
        <v>116</v>
      </c>
      <c r="C35">
        <v>3</v>
      </c>
      <c r="D35">
        <v>17</v>
      </c>
      <c r="E35" t="s">
        <v>11</v>
      </c>
      <c r="F35" s="6">
        <v>1</v>
      </c>
      <c r="G35" t="s">
        <v>35</v>
      </c>
      <c r="H35" s="6">
        <v>1</v>
      </c>
      <c r="J35" s="6"/>
      <c r="L35" t="str">
        <f ca="1">IF(($E35="")+($F35=""),"",_xlfn.CONCAT("bindings.add(",OFFSET('Switch Positions'!$A$1,MATCH($E35,'Switch Positions'!A:A,0)-1,1),",",OFFSET('Switch Positions'!$A$1,MATCH($E35,'Switch Positions'!A:A,0)-1,2+$F35),", ",$C35,", ",$D35,")"))</f>
        <v xml:space="preserve">bindings.add(4,1, 3, 17)</v>
      </c>
    </row>
    <row r="36">
      <c r="A36" t="s">
        <v>117</v>
      </c>
      <c r="B36" t="s">
        <v>108</v>
      </c>
      <c r="C36">
        <v>3</v>
      </c>
      <c r="D36">
        <v>33</v>
      </c>
      <c r="E36" t="s">
        <v>11</v>
      </c>
      <c r="F36" s="6">
        <v>2</v>
      </c>
      <c r="H36" s="6"/>
      <c r="J36" s="6"/>
      <c r="L36" t="str">
        <f ca="1">IF(($E36="")+($F36=""),"",_xlfn.CONCAT("bindings.add(",OFFSET('Switch Positions'!$A$1,MATCH($E36,'Switch Positions'!A:A,0)-1,1),",",OFFSET('Switch Positions'!$A$1,MATCH($E36,'Switch Positions'!A:A,0)-1,2+$F36),", ",$C36,", ",$D36,")"))</f>
        <v xml:space="preserve">bindings.add(4,2, 3, 33)</v>
      </c>
    </row>
    <row r="37">
      <c r="A37" t="s">
        <v>118</v>
      </c>
      <c r="B37" t="s">
        <v>108</v>
      </c>
      <c r="C37">
        <v>3</v>
      </c>
      <c r="D37">
        <v>30</v>
      </c>
      <c r="E37" t="s">
        <v>11</v>
      </c>
      <c r="F37" s="6">
        <v>3</v>
      </c>
      <c r="G37" t="s">
        <v>15</v>
      </c>
      <c r="H37" s="6">
        <v>3</v>
      </c>
      <c r="I37" t="s">
        <v>6</v>
      </c>
      <c r="J37" s="6">
        <v>4</v>
      </c>
      <c r="L37" t="str">
        <f ca="1">IF(($E37="")+($F37=""),"",_xlfn.CONCAT("bindings.add(",OFFSET('Switch Positions'!$A$1,MATCH($E37,'Switch Positions'!A:A,0)-1,1),",",OFFSET('Switch Positions'!$A$1,MATCH($E37,'Switch Positions'!A:A,0)-1,2+$F37),", ",$C37,", ",$D37,")"))</f>
        <v xml:space="preserve">bindings.add(4,5, 3, 30)</v>
      </c>
    </row>
    <row r="38">
      <c r="A38" t="s">
        <v>119</v>
      </c>
      <c r="B38" t="s">
        <v>108</v>
      </c>
      <c r="C38">
        <v>3</v>
      </c>
      <c r="D38">
        <v>36</v>
      </c>
      <c r="E38" t="s">
        <v>11</v>
      </c>
      <c r="F38" s="6">
        <v>4</v>
      </c>
      <c r="H38" s="6"/>
      <c r="J38" s="6"/>
      <c r="L38" t="str">
        <f ca="1">IF(($E38="")+($F38=""),"",_xlfn.CONCAT("bindings.add(",OFFSET('Switch Positions'!$A$1,MATCH($E38,'Switch Positions'!A:A,0)-1,1),",",OFFSET('Switch Positions'!$A$1,MATCH($E38,'Switch Positions'!A:A,0)-1,2+$F38),", ",$C38,", ",$D38,")"))</f>
        <v xml:space="preserve">bindings.add(4,4, 3, 36)</v>
      </c>
    </row>
    <row r="39">
      <c r="A39" t="s">
        <v>120</v>
      </c>
      <c r="B39" t="s">
        <v>108</v>
      </c>
      <c r="C39">
        <v>3</v>
      </c>
      <c r="D39">
        <v>29</v>
      </c>
      <c r="E39" t="s">
        <v>11</v>
      </c>
      <c r="F39" s="6">
        <v>4</v>
      </c>
      <c r="H39" s="6"/>
      <c r="J39" s="6"/>
      <c r="L39" t="str">
        <f ca="1">IF(($E39="")+($F39=""),"",_xlfn.CONCAT("bindings.add(",OFFSET('Switch Positions'!$A$1,MATCH($E39,'Switch Positions'!A:A,0)-1,1),",",OFFSET('Switch Positions'!$A$1,MATCH($E39,'Switch Positions'!A:A,0)-1,2+$F39),", ",$C39,", ",$D39,")"))</f>
        <v xml:space="preserve">bindings.add(4,4, 3, 29)</v>
      </c>
    </row>
    <row r="40">
      <c r="A40" t="s">
        <v>121</v>
      </c>
      <c r="B40" t="s">
        <v>122</v>
      </c>
      <c r="E40" t="s">
        <v>16</v>
      </c>
      <c r="F40" s="6">
        <v>0</v>
      </c>
      <c r="H40" s="6"/>
      <c r="J40" s="6"/>
      <c r="K40" t="s">
        <v>123</v>
      </c>
      <c r="L40" t="str">
        <f ca="1">IF(($E40="")+($F40=""),"",_xlfn.CONCAT("bindings.add(",OFFSET('Switch Positions'!$A$1,MATCH($E40,'Switch Positions'!A:A,0)-1,1),",",OFFSET('Switch Positions'!$A$1,MATCH($E40,'Switch Positions'!A:A,0)-1,2+$F40),", ",$C40,", ",$D40,")"))</f>
        <v xml:space="preserve">bindings.add(8,1, , )</v>
      </c>
    </row>
    <row r="41">
      <c r="A41" t="s">
        <v>124</v>
      </c>
      <c r="B41" t="s">
        <v>122</v>
      </c>
      <c r="C41">
        <v>3</v>
      </c>
      <c r="D41">
        <v>1</v>
      </c>
      <c r="E41" t="s">
        <v>16</v>
      </c>
      <c r="F41" s="6">
        <v>0</v>
      </c>
      <c r="H41" s="6"/>
      <c r="J41" s="6"/>
      <c r="L41" t="str">
        <f ca="1">IF(($E41="")+($F41=""),"",_xlfn.CONCAT("bindings.add(",OFFSET('Switch Positions'!$A$1,MATCH($E41,'Switch Positions'!A:A,0)-1,1),",",OFFSET('Switch Positions'!$A$1,MATCH($E41,'Switch Positions'!A:A,0)-1,2+$F41),", ",$C41,", ",$D41,")"))</f>
        <v xml:space="preserve">bindings.add(8,1, 3, 1)</v>
      </c>
    </row>
    <row r="42">
      <c r="A42" t="s">
        <v>125</v>
      </c>
      <c r="B42" t="s">
        <v>122</v>
      </c>
      <c r="C42">
        <v>3</v>
      </c>
      <c r="D42">
        <v>6</v>
      </c>
      <c r="E42" t="s">
        <v>16</v>
      </c>
      <c r="F42" s="6">
        <v>0</v>
      </c>
      <c r="H42" s="6"/>
      <c r="J42" s="6"/>
      <c r="L42" t="str">
        <f ca="1">IF(($E42="")+($F42=""),"",_xlfn.CONCAT("bindings.add(",OFFSET('Switch Positions'!$A$1,MATCH($E42,'Switch Positions'!A:A,0)-1,1),",",OFFSET('Switch Positions'!$A$1,MATCH($E42,'Switch Positions'!A:A,0)-1,2+$F42),", ",$C42,", ",$D42,")"))</f>
        <v xml:space="preserve">bindings.add(8,1, 3, 6)</v>
      </c>
    </row>
    <row r="43">
      <c r="A43" t="s">
        <v>126</v>
      </c>
      <c r="B43" t="s">
        <v>105</v>
      </c>
      <c r="C43">
        <v>3</v>
      </c>
      <c r="D43">
        <v>13</v>
      </c>
      <c r="E43" t="s">
        <v>16</v>
      </c>
      <c r="F43" s="6">
        <v>1</v>
      </c>
      <c r="H43" s="6"/>
      <c r="J43" s="6"/>
      <c r="L43" t="str">
        <f ca="1">IF(($E43="")+($F43=""),"",_xlfn.CONCAT("bindings.add(",OFFSET('Switch Positions'!$A$1,MATCH($E43,'Switch Positions'!A:A,0)-1,1),",",OFFSET('Switch Positions'!$A$1,MATCH($E43,'Switch Positions'!A:A,0)-1,2+$F43),", ",$C43,", ",$D43,")"))</f>
        <v xml:space="preserve">bindings.add(8,5, 3, 13)</v>
      </c>
    </row>
    <row r="44">
      <c r="A44" t="s">
        <v>127</v>
      </c>
      <c r="B44" t="s">
        <v>105</v>
      </c>
      <c r="C44">
        <v>1</v>
      </c>
      <c r="D44">
        <v>19</v>
      </c>
      <c r="E44" t="s">
        <v>16</v>
      </c>
      <c r="F44" s="6">
        <v>2</v>
      </c>
      <c r="H44" s="6"/>
      <c r="J44" s="6"/>
      <c r="L44" t="str">
        <f ca="1">IF(($E44="")+($F44=""),"",_xlfn.CONCAT("bindings.add(",OFFSET('Switch Positions'!$A$1,MATCH($E44,'Switch Positions'!A:A,0)-1,1),",",OFFSET('Switch Positions'!$A$1,MATCH($E44,'Switch Positions'!A:A,0)-1,2+$F44),", ",$C44,", ",$D44,")"))</f>
        <v xml:space="preserve">bindings.add(8,4, 1, 19)</v>
      </c>
    </row>
    <row r="45">
      <c r="A45" t="s">
        <v>128</v>
      </c>
      <c r="B45" t="s">
        <v>105</v>
      </c>
      <c r="C45">
        <v>1</v>
      </c>
      <c r="D45">
        <v>22</v>
      </c>
      <c r="E45" t="s">
        <v>16</v>
      </c>
      <c r="F45" s="6">
        <v>3</v>
      </c>
      <c r="G45" t="s">
        <v>25</v>
      </c>
      <c r="H45" s="6">
        <v>3</v>
      </c>
      <c r="J45" s="6"/>
      <c r="L45" t="str">
        <f ca="1">IF(($E45="")+($F45=""),"",_xlfn.CONCAT("bindings.add(",OFFSET('Switch Positions'!$A$1,MATCH($E45,'Switch Positions'!A:A,0)-1,1),",",OFFSET('Switch Positions'!$A$1,MATCH($E45,'Switch Positions'!A:A,0)-1,2+$F45),", ",$C45,", ",$D45,")"))</f>
        <v xml:space="preserve">bindings.add(8,3, 1, 22)</v>
      </c>
    </row>
    <row r="46">
      <c r="A46" t="s">
        <v>129</v>
      </c>
      <c r="B46" t="s">
        <v>105</v>
      </c>
      <c r="E46" t="s">
        <v>16</v>
      </c>
      <c r="F46" s="6"/>
      <c r="H46" s="6"/>
      <c r="J46" s="6"/>
      <c r="K46" t="s">
        <v>130</v>
      </c>
      <c r="L46" t="str">
        <f ca="1">IF(($E46="")+($F46=""),"",_xlfn.CONCAT("bindings.add(",OFFSET('Switch Positions'!$A$1,MATCH($E46,'Switch Positions'!A:A,0)-1,1),",",OFFSET('Switch Positions'!$A$1,MATCH($E46,'Switch Positions'!A:A,0)-1,2+$F46),", ",$C46,", ",$D46,")"))</f>
        <v/>
      </c>
    </row>
    <row r="47">
      <c r="A47" t="s">
        <v>131</v>
      </c>
      <c r="B47" t="s">
        <v>122</v>
      </c>
      <c r="C47">
        <v>1</v>
      </c>
      <c r="D47">
        <v>6</v>
      </c>
      <c r="E47" t="s">
        <v>16</v>
      </c>
      <c r="F47" s="6"/>
      <c r="H47" s="6"/>
      <c r="J47" s="6"/>
      <c r="L47" t="str">
        <f ca="1">IF(($E47="")+($F47=""),"",_xlfn.CONCAT("bindings.add(",OFFSET('Switch Positions'!$A$1,MATCH($E47,'Switch Positions'!A:A,0)-1,1),",",OFFSET('Switch Positions'!$A$1,MATCH($E47,'Switch Positions'!A:A,0)-1,2+$F47),", ",$C47,", ",$D47,")"))</f>
        <v/>
      </c>
    </row>
    <row r="48">
      <c r="A48" t="s">
        <v>132</v>
      </c>
      <c r="B48" t="s">
        <v>116</v>
      </c>
      <c r="C48">
        <v>3</v>
      </c>
      <c r="D48">
        <v>9</v>
      </c>
      <c r="E48" t="s">
        <v>6</v>
      </c>
      <c r="F48" s="6">
        <v>0</v>
      </c>
      <c r="H48" s="6"/>
      <c r="J48" s="6"/>
      <c r="L48" t="str">
        <f ca="1">IF(($E48="")+($F48=""),"",_xlfn.CONCAT("bindings.add(",OFFSET('Switch Positions'!$A$1,MATCH($E48,'Switch Positions'!A:A,0)-1,1),",",OFFSET('Switch Positions'!$A$1,MATCH($E48,'Switch Positions'!A:A,0)-1,2+$F48),", ",$C48,", ",$D48,")"))</f>
        <v xml:space="preserve">bindings.add(2,2, 3, 9)</v>
      </c>
    </row>
    <row r="49">
      <c r="A49" t="s">
        <v>133</v>
      </c>
      <c r="B49" t="s">
        <v>116</v>
      </c>
      <c r="C49">
        <v>3</v>
      </c>
      <c r="D49">
        <v>15</v>
      </c>
      <c r="E49" t="s">
        <v>6</v>
      </c>
      <c r="F49" s="6">
        <v>0</v>
      </c>
      <c r="H49" s="6"/>
      <c r="J49" s="6"/>
      <c r="L49" t="str">
        <f ca="1">IF(($E49="")+($F49=""),"",_xlfn.CONCAT("bindings.add(",OFFSET('Switch Positions'!$A$1,MATCH($E49,'Switch Positions'!A:A,0)-1,1),",",OFFSET('Switch Positions'!$A$1,MATCH($E49,'Switch Positions'!A:A,0)-1,2+$F49),", ",$C49,", ",$D49,")"))</f>
        <v xml:space="preserve">bindings.add(2,2, 3, 15)</v>
      </c>
    </row>
    <row r="50">
      <c r="A50" t="s">
        <v>134</v>
      </c>
      <c r="B50" t="s">
        <v>116</v>
      </c>
      <c r="C50">
        <v>3</v>
      </c>
      <c r="D50">
        <v>25</v>
      </c>
      <c r="E50" t="s">
        <v>6</v>
      </c>
      <c r="F50" s="6">
        <v>1</v>
      </c>
      <c r="H50" s="6"/>
      <c r="J50" s="6"/>
      <c r="L50" t="str">
        <f ca="1">IF(($E50="")+($F50=""),"",_xlfn.CONCAT("bindings.add(",OFFSET('Switch Positions'!$A$1,MATCH($E50,'Switch Positions'!A:A,0)-1,1),",",OFFSET('Switch Positions'!$A$1,MATCH($E50,'Switch Positions'!A:A,0)-1,2+$F50),", ",$C50,", ",$D50,")"))</f>
        <v xml:space="preserve">bindings.add(2,5, 3, 25)</v>
      </c>
    </row>
    <row r="51">
      <c r="A51" t="s">
        <v>135</v>
      </c>
      <c r="B51" t="s">
        <v>116</v>
      </c>
      <c r="C51">
        <v>1</v>
      </c>
      <c r="D51">
        <v>3</v>
      </c>
      <c r="E51" t="s">
        <v>6</v>
      </c>
      <c r="F51" s="6">
        <v>2</v>
      </c>
      <c r="H51" s="6"/>
      <c r="J51" s="6"/>
      <c r="L51" t="str">
        <f ca="1">IF(($E51="")+($F51=""),"",_xlfn.CONCAT("bindings.add(",OFFSET('Switch Positions'!$A$1,MATCH($E51,'Switch Positions'!A:A,0)-1,1),",",OFFSET('Switch Positions'!$A$1,MATCH($E51,'Switch Positions'!A:A,0)-1,2+$F51),", ",$C51,", ",$D51,")"))</f>
        <v xml:space="preserve">bindings.add(2,3, 1, 3)</v>
      </c>
    </row>
    <row r="52">
      <c r="A52" s="8" t="s">
        <v>136</v>
      </c>
      <c r="B52" s="8" t="s">
        <v>137</v>
      </c>
      <c r="C52">
        <v>2</v>
      </c>
      <c r="D52">
        <v>15</v>
      </c>
      <c r="E52" t="s">
        <v>34</v>
      </c>
      <c r="F52" s="6">
        <v>0</v>
      </c>
      <c r="H52" s="6"/>
      <c r="J52" s="6"/>
      <c r="L52" t="str">
        <f ca="1">IF(($E52="")+($F52=""),"",_xlfn.CONCAT("bindings.add(",OFFSET('Switch Positions'!$A$1,MATCH($E52,'Switch Positions'!A:A,0)-1,1),",",OFFSET('Switch Positions'!$A$1,MATCH($E52,'Switch Positions'!A:A,0)-1,2+$F52),", ",$C52,", ",$D52,")"))</f>
        <v xml:space="preserve">bindings.add(22,0, 2, 15)</v>
      </c>
    </row>
    <row r="53">
      <c r="A53" s="8" t="s">
        <v>138</v>
      </c>
      <c r="B53" s="8" t="s">
        <v>137</v>
      </c>
      <c r="C53">
        <v>2</v>
      </c>
      <c r="D53">
        <v>37</v>
      </c>
      <c r="E53" t="s">
        <v>34</v>
      </c>
      <c r="F53" s="6">
        <v>1</v>
      </c>
      <c r="H53" s="6"/>
      <c r="J53" s="6"/>
      <c r="L53" t="str">
        <f ca="1">IF(($E53="")+($F53=""),"",_xlfn.CONCAT("bindings.add(",OFFSET('Switch Positions'!$A$1,MATCH($E53,'Switch Positions'!A:A,0)-1,1),",",OFFSET('Switch Positions'!$A$1,MATCH($E53,'Switch Positions'!A:A,0)-1,2+$F53),", ",$C53,", ",$D53,")"))</f>
        <v xml:space="preserve">bindings.add(22,1, 2, 37)</v>
      </c>
    </row>
    <row r="54">
      <c r="A54" t="s">
        <v>139</v>
      </c>
      <c r="B54" t="s">
        <v>137</v>
      </c>
      <c r="C54">
        <v>2</v>
      </c>
      <c r="D54">
        <v>5</v>
      </c>
      <c r="E54" t="s">
        <v>34</v>
      </c>
      <c r="F54" s="6">
        <v>1</v>
      </c>
      <c r="H54" s="6"/>
      <c r="J54" s="6"/>
      <c r="L54" t="str">
        <f ca="1">IF(($E54="")+($F54=""),"",_xlfn.CONCAT("bindings.add(",OFFSET('Switch Positions'!$A$1,MATCH($E54,'Switch Positions'!A:A,0)-1,1),",",OFFSET('Switch Positions'!$A$1,MATCH($E54,'Switch Positions'!A:A,0)-1,2+$F54),", ",$C54,", ",$D54,")"))</f>
        <v xml:space="preserve">bindings.add(22,1, 2, 5)</v>
      </c>
    </row>
    <row r="55">
      <c r="A55" t="s">
        <v>140</v>
      </c>
      <c r="B55" t="s">
        <v>137</v>
      </c>
      <c r="C55">
        <v>2</v>
      </c>
      <c r="D55">
        <v>9</v>
      </c>
      <c r="E55" t="s">
        <v>34</v>
      </c>
      <c r="F55" s="6">
        <v>2</v>
      </c>
      <c r="H55" s="6"/>
      <c r="J55" s="6"/>
      <c r="L55" t="str">
        <f ca="1">IF(($E55="")+($F55=""),"",_xlfn.CONCAT("bindings.add(",OFFSET('Switch Positions'!$A$1,MATCH($E55,'Switch Positions'!A:A,0)-1,1),",",OFFSET('Switch Positions'!$A$1,MATCH($E55,'Switch Positions'!A:A,0)-1,2+$F55),", ",$C55,", ",$D55,")"))</f>
        <v xml:space="preserve">bindings.add(22,2, 2, 9)</v>
      </c>
    </row>
    <row r="56">
      <c r="A56" t="s">
        <v>141</v>
      </c>
      <c r="B56" t="s">
        <v>137</v>
      </c>
      <c r="C56">
        <v>2</v>
      </c>
      <c r="D56">
        <v>10</v>
      </c>
      <c r="E56" t="s">
        <v>34</v>
      </c>
      <c r="F56" s="6">
        <v>2</v>
      </c>
      <c r="H56" s="6"/>
      <c r="J56" s="6"/>
      <c r="L56" t="str">
        <f ca="1">IF(($E56="")+($F56=""),"",_xlfn.CONCAT("bindings.add(",OFFSET('Switch Positions'!$A$1,MATCH($E56,'Switch Positions'!A:A,0)-1,1),",",OFFSET('Switch Positions'!$A$1,MATCH($E56,'Switch Positions'!A:A,0)-1,2+$F56),", ",$C56,", ",$D56,")"))</f>
        <v xml:space="preserve">bindings.add(22,2, 2, 10)</v>
      </c>
    </row>
    <row r="57">
      <c r="A57" t="s">
        <v>142</v>
      </c>
      <c r="B57" t="s">
        <v>137</v>
      </c>
      <c r="C57">
        <v>2</v>
      </c>
      <c r="D57">
        <v>2</v>
      </c>
      <c r="E57" t="s">
        <v>34</v>
      </c>
      <c r="F57" s="6">
        <v>3</v>
      </c>
      <c r="H57" s="6"/>
      <c r="J57" s="6"/>
      <c r="L57" t="str">
        <f ca="1">IF(($E57="")+($F57=""),"",_xlfn.CONCAT("bindings.add(",OFFSET('Switch Positions'!$A$1,MATCH($E57,'Switch Positions'!A:A,0)-1,1),",",OFFSET('Switch Positions'!$A$1,MATCH($E57,'Switch Positions'!A:A,0)-1,2+$F57),", ",$C57,", ",$D57,")"))</f>
        <v xml:space="preserve">bindings.add(22,3, 2, 2)</v>
      </c>
    </row>
    <row r="58">
      <c r="A58" t="s">
        <v>143</v>
      </c>
      <c r="B58" t="s">
        <v>137</v>
      </c>
      <c r="C58">
        <v>2</v>
      </c>
      <c r="D58">
        <v>11</v>
      </c>
      <c r="E58" t="s">
        <v>34</v>
      </c>
      <c r="F58" s="6">
        <v>3</v>
      </c>
      <c r="H58" s="6"/>
      <c r="J58" s="6"/>
      <c r="L58" t="str">
        <f ca="1">IF(($E58="")+($F58=""),"",_xlfn.CONCAT("bindings.add(",OFFSET('Switch Positions'!$A$1,MATCH($E58,'Switch Positions'!A:A,0)-1,1),",",OFFSET('Switch Positions'!$A$1,MATCH($E58,'Switch Positions'!A:A,0)-1,2+$F58),", ",$C58,", ",$D58,")"))</f>
        <v xml:space="preserve">bindings.add(22,3, 2, 11)</v>
      </c>
    </row>
    <row r="59">
      <c r="A59" t="s">
        <v>144</v>
      </c>
      <c r="B59" t="s">
        <v>3</v>
      </c>
      <c r="C59">
        <v>1</v>
      </c>
      <c r="D59">
        <v>20</v>
      </c>
      <c r="E59" t="s">
        <v>3</v>
      </c>
      <c r="F59" s="6">
        <v>0</v>
      </c>
      <c r="H59" s="6"/>
      <c r="J59" s="6"/>
      <c r="L59" t="str">
        <f ca="1">IF(($E59="")+($F59=""),"",_xlfn.CONCAT("bindings.add(",OFFSET('Switch Positions'!$A$1,MATCH($E59,'Switch Positions'!A:A,0)-1,1),",",OFFSET('Switch Positions'!$A$1,MATCH($E59,'Switch Positions'!A:A,0)-1,2+$F59),", ",$C59,", ",$D59,")"))</f>
        <v xml:space="preserve">bindings.add(0,2, 1, 20)</v>
      </c>
    </row>
    <row r="60">
      <c r="A60" t="s">
        <v>145</v>
      </c>
      <c r="B60" t="s">
        <v>3</v>
      </c>
      <c r="C60">
        <v>3</v>
      </c>
      <c r="D60">
        <v>39</v>
      </c>
      <c r="E60" t="s">
        <v>3</v>
      </c>
      <c r="F60" s="6">
        <v>0</v>
      </c>
      <c r="H60" s="6"/>
      <c r="J60" s="6"/>
      <c r="L60" t="str">
        <f ca="1">IF(($E60="")+($F60=""),"",_xlfn.CONCAT("bindings.add(",OFFSET('Switch Positions'!$A$1,MATCH($E60,'Switch Positions'!A:A,0)-1,1),",",OFFSET('Switch Positions'!$A$1,MATCH($E60,'Switch Positions'!A:A,0)-1,2+$F60),", ",$C60,", ",$D60,")"))</f>
        <v xml:space="preserve">bindings.add(0,2, 3, 39)</v>
      </c>
    </row>
    <row r="61">
      <c r="A61" t="s">
        <v>146</v>
      </c>
      <c r="B61" t="s">
        <v>3</v>
      </c>
      <c r="C61">
        <v>3</v>
      </c>
      <c r="D61">
        <v>22</v>
      </c>
      <c r="E61" t="s">
        <v>3</v>
      </c>
      <c r="F61" s="6">
        <v>1</v>
      </c>
      <c r="G61" t="s">
        <v>5</v>
      </c>
      <c r="H61" s="6">
        <v>1</v>
      </c>
      <c r="I61" t="s">
        <v>35</v>
      </c>
      <c r="J61" s="6">
        <v>2</v>
      </c>
      <c r="L61" t="str">
        <f ca="1">IF(($E61="")+($F61=""),"",_xlfn.CONCAT("bindings.add(",OFFSET('Switch Positions'!$A$1,MATCH($E61,'Switch Positions'!A:A,0)-1,1),",",OFFSET('Switch Positions'!$A$1,MATCH($E61,'Switch Positions'!A:A,0)-1,2+$F61),", ",$C61,", ",$D61,")"))</f>
        <v xml:space="preserve">bindings.add(0,5, 3, 22)</v>
      </c>
    </row>
    <row r="62">
      <c r="A62" t="s">
        <v>147</v>
      </c>
      <c r="B62" t="s">
        <v>3</v>
      </c>
      <c r="C62">
        <v>1</v>
      </c>
      <c r="D62" s="8">
        <v>0</v>
      </c>
      <c r="E62" t="s">
        <v>3</v>
      </c>
      <c r="F62" s="6">
        <v>2</v>
      </c>
      <c r="H62" s="6"/>
      <c r="J62" s="6"/>
      <c r="L62" t="str">
        <f ca="1">IF(($E62="")+($F62=""),"",_xlfn.CONCAT("bindings.add(",OFFSET('Switch Positions'!$A$1,MATCH($E62,'Switch Positions'!A:A,0)-1,1),",",OFFSET('Switch Positions'!$A$1,MATCH($E62,'Switch Positions'!A:A,0)-1,2+$F62),", ",$C62,", ",$D62,")"))</f>
        <v xml:space="preserve">bindings.add(0,4, 1, 0)</v>
      </c>
    </row>
    <row r="63">
      <c r="A63" t="s">
        <v>148</v>
      </c>
      <c r="B63" t="s">
        <v>3</v>
      </c>
      <c r="C63">
        <v>3</v>
      </c>
      <c r="D63" s="8">
        <v>23</v>
      </c>
      <c r="E63" t="s">
        <v>3</v>
      </c>
      <c r="F63" s="6">
        <v>3</v>
      </c>
      <c r="H63" s="6"/>
      <c r="J63" s="6"/>
      <c r="L63" t="str">
        <f ca="1">IF(($E63="")+($F63=""),"",_xlfn.CONCAT("bindings.add(",OFFSET('Switch Positions'!$A$1,MATCH($E63,'Switch Positions'!A:A,0)-1,1),",",OFFSET('Switch Positions'!$A$1,MATCH($E63,'Switch Positions'!A:A,0)-1,2+$F63),", ",$C63,", ",$D63,")"))</f>
        <v xml:space="preserve">bindings.add(0,3, 3, 23)</v>
      </c>
    </row>
    <row r="64">
      <c r="A64" t="s">
        <v>149</v>
      </c>
      <c r="B64" t="s">
        <v>3</v>
      </c>
      <c r="C64">
        <v>3</v>
      </c>
      <c r="D64">
        <v>27</v>
      </c>
      <c r="E64" t="s">
        <v>3</v>
      </c>
      <c r="F64" s="6">
        <v>3</v>
      </c>
      <c r="H64" s="6"/>
      <c r="J64" s="6"/>
      <c r="L64" t="str">
        <f ca="1">IF(($E64="")+($F64=""),"",_xlfn.CONCAT("bindings.add(",OFFSET('Switch Positions'!$A$1,MATCH($E64,'Switch Positions'!A:A,0)-1,1),",",OFFSET('Switch Positions'!$A$1,MATCH($E64,'Switch Positions'!A:A,0)-1,2+$F64),", ",$C64,", ",$D64,")"))</f>
        <v xml:space="preserve">bindings.add(0,3, 3, 27)</v>
      </c>
    </row>
    <row r="65">
      <c r="A65" t="s">
        <v>150</v>
      </c>
      <c r="B65" t="s">
        <v>3</v>
      </c>
      <c r="C65">
        <v>3</v>
      </c>
      <c r="D65">
        <v>12</v>
      </c>
      <c r="E65" t="s">
        <v>3</v>
      </c>
      <c r="F65" s="6">
        <v>4</v>
      </c>
      <c r="H65" s="6"/>
      <c r="J65" s="6"/>
      <c r="L65" t="str">
        <f ca="1">IF(($E65="")+($F65=""),"",_xlfn.CONCAT("bindings.add(",OFFSET('Switch Positions'!$A$1,MATCH($E65,'Switch Positions'!A:A,0)-1,1),",",OFFSET('Switch Positions'!$A$1,MATCH($E65,'Switch Positions'!A:A,0)-1,2+$F65),", ",$C65,", ",$D65,")"))</f>
        <v xml:space="preserve">bindings.add(0,1, 3, 12)</v>
      </c>
    </row>
    <row r="66">
      <c r="A66" t="s">
        <v>151</v>
      </c>
      <c r="B66" t="s">
        <v>152</v>
      </c>
      <c r="C66">
        <v>3</v>
      </c>
      <c r="D66">
        <v>34</v>
      </c>
      <c r="E66" t="s">
        <v>5</v>
      </c>
      <c r="F66" s="6">
        <v>0</v>
      </c>
      <c r="H66" s="6"/>
      <c r="J66" s="6"/>
      <c r="L66" t="str">
        <f ca="1">IF(($E66="")+($F66=""),"",_xlfn.CONCAT("bindings.add(",OFFSET('Switch Positions'!$A$1,MATCH($E66,'Switch Positions'!A:A,0)-1,1),",",OFFSET('Switch Positions'!$A$1,MATCH($E66,'Switch Positions'!A:A,0)-1,2+$F66),", ",$C66,", ",$D66,")"))</f>
        <v xml:space="preserve">bindings.add(1,2, 3, 34)</v>
      </c>
    </row>
    <row r="67">
      <c r="A67" t="s">
        <v>153</v>
      </c>
      <c r="B67" t="s">
        <v>152</v>
      </c>
      <c r="C67">
        <v>3</v>
      </c>
      <c r="D67">
        <v>8</v>
      </c>
      <c r="E67" t="s">
        <v>35</v>
      </c>
      <c r="F67" s="6">
        <v>0</v>
      </c>
      <c r="G67" t="s">
        <v>5</v>
      </c>
      <c r="H67" s="6">
        <v>2</v>
      </c>
      <c r="J67" s="6"/>
      <c r="L67" t="str">
        <f ca="1">IF(($E67="")+($F67=""),"",_xlfn.CONCAT("bindings.add(",OFFSET('Switch Positions'!$A$1,MATCH($E67,'Switch Positions'!A:A,0)-1,1),",",OFFSET('Switch Positions'!$A$1,MATCH($E67,'Switch Positions'!A:A,0)-1,2+$F67),", ",$C67,", ",$D67,")"))</f>
        <v xml:space="preserve">bindings.add(23,0, 3, 8)</v>
      </c>
    </row>
    <row r="68">
      <c r="A68" t="s">
        <v>154</v>
      </c>
      <c r="B68" t="s">
        <v>152</v>
      </c>
      <c r="C68">
        <v>3</v>
      </c>
      <c r="D68">
        <v>5</v>
      </c>
      <c r="E68" t="s">
        <v>35</v>
      </c>
      <c r="F68" s="6">
        <v>0</v>
      </c>
      <c r="G68" t="s">
        <v>5</v>
      </c>
      <c r="H68" s="6">
        <v>2</v>
      </c>
      <c r="J68" s="6"/>
      <c r="L68" t="str">
        <f ca="1">IF(($E68="")+($F68=""),"",_xlfn.CONCAT("bindings.add(",OFFSET('Switch Positions'!$A$1,MATCH($E68,'Switch Positions'!A:A,0)-1,1),",",OFFSET('Switch Positions'!$A$1,MATCH($E68,'Switch Positions'!A:A,0)-1,2+$F68),", ",$C68,", ",$D68,")"))</f>
        <v xml:space="preserve">bindings.add(23,0, 3, 5)</v>
      </c>
    </row>
    <row r="69">
      <c r="A69" t="s">
        <v>155</v>
      </c>
      <c r="B69" t="s">
        <v>152</v>
      </c>
      <c r="C69">
        <v>3</v>
      </c>
      <c r="D69">
        <v>28</v>
      </c>
      <c r="E69" t="s">
        <v>7</v>
      </c>
      <c r="F69" s="6">
        <v>1</v>
      </c>
      <c r="H69" s="6"/>
      <c r="J69" s="6"/>
      <c r="L69" t="str">
        <f ca="1">IF(($E69="")+($F69=""),"",_xlfn.CONCAT("bindings.add(",OFFSET('Switch Positions'!$A$1,MATCH($E69,'Switch Positions'!A:A,0)-1,1),",",OFFSET('Switch Positions'!$A$1,MATCH($E69,'Switch Positions'!A:A,0)-1,2+$F69),", ",$C69,", ",$D69,")"))</f>
        <v xml:space="preserve">bindings.add(17,1, 3, 28)</v>
      </c>
    </row>
    <row r="70">
      <c r="A70" t="s">
        <v>156</v>
      </c>
      <c r="B70" t="s">
        <v>105</v>
      </c>
      <c r="C70">
        <v>1</v>
      </c>
      <c r="D70">
        <v>2</v>
      </c>
      <c r="E70" t="s">
        <v>7</v>
      </c>
      <c r="F70" s="6">
        <v>2</v>
      </c>
      <c r="H70" s="6"/>
      <c r="J70" s="6"/>
      <c r="L70" t="str">
        <f ca="1">IF(($E70="")+($F70=""),"",_xlfn.CONCAT("bindings.add(",OFFSET('Switch Positions'!$A$1,MATCH($E70,'Switch Positions'!A:A,0)-1,1),",",OFFSET('Switch Positions'!$A$1,MATCH($E70,'Switch Positions'!A:A,0)-1,2+$F70),", ",$C70,", ",$D70,")"))</f>
        <v xml:space="preserve">bindings.add(17,2, 1, 2)</v>
      </c>
    </row>
    <row r="71">
      <c r="A71" t="s">
        <v>157</v>
      </c>
      <c r="B71" t="s">
        <v>105</v>
      </c>
      <c r="C71">
        <v>1</v>
      </c>
      <c r="D71">
        <v>5</v>
      </c>
      <c r="E71" t="s">
        <v>7</v>
      </c>
      <c r="F71" s="6">
        <v>3</v>
      </c>
      <c r="H71" s="6"/>
      <c r="J71" s="6"/>
      <c r="L71" t="str">
        <f ca="1">IF(($E71="")+($F71=""),"",_xlfn.CONCAT("bindings.add(",OFFSET('Switch Positions'!$A$1,MATCH($E71,'Switch Positions'!A:A,0)-1,1),",",OFFSET('Switch Positions'!$A$1,MATCH($E71,'Switch Positions'!A:A,0)-1,2+$F71),", ",$C71,", ",$D71,")"))</f>
        <v xml:space="preserve">bindings.add(17,3, 1, 5)</v>
      </c>
    </row>
    <row r="72">
      <c r="A72" t="s">
        <v>158</v>
      </c>
      <c r="B72" t="s">
        <v>105</v>
      </c>
      <c r="E72" t="s">
        <v>12</v>
      </c>
      <c r="F72" s="6">
        <v>0</v>
      </c>
      <c r="H72" s="6"/>
      <c r="J72" s="6"/>
      <c r="K72" t="s">
        <v>130</v>
      </c>
      <c r="L72" t="str">
        <f ca="1">IF(($E72="")+($F72=""),"",_xlfn.CONCAT("bindings.add(",OFFSET('Switch Positions'!$A$1,MATCH($E72,'Switch Positions'!A:A,0)-1,1),",",OFFSET('Switch Positions'!$A$1,MATCH($E72,'Switch Positions'!A:A,0)-1,2+$F72),", ",$C72,", ",$D72,")"))</f>
        <v xml:space="preserve">bindings.add(5,0, , )</v>
      </c>
    </row>
    <row r="73">
      <c r="A73" t="s">
        <v>159</v>
      </c>
      <c r="B73" t="s">
        <v>105</v>
      </c>
      <c r="C73">
        <v>2</v>
      </c>
      <c r="D73">
        <v>1</v>
      </c>
      <c r="E73" t="s">
        <v>12</v>
      </c>
      <c r="F73" s="6">
        <v>0</v>
      </c>
      <c r="H73" s="6"/>
      <c r="J73" s="6"/>
      <c r="L73" t="str">
        <f ca="1">IF(($E73="")+($F73=""),"",_xlfn.CONCAT("bindings.add(",OFFSET('Switch Positions'!$A$1,MATCH($E73,'Switch Positions'!A:A,0)-1,1),",",OFFSET('Switch Positions'!$A$1,MATCH($E73,'Switch Positions'!A:A,0)-1,2+$F73),", ",$C73,", ",$D73,")"))</f>
        <v xml:space="preserve">bindings.add(5,0, 2, 1)</v>
      </c>
    </row>
    <row r="74">
      <c r="A74" t="s">
        <v>160</v>
      </c>
      <c r="B74" t="s">
        <v>105</v>
      </c>
      <c r="E74" t="s">
        <v>12</v>
      </c>
      <c r="F74" s="6">
        <v>2</v>
      </c>
      <c r="H74" s="6"/>
      <c r="J74" s="6"/>
      <c r="K74" t="s">
        <v>161</v>
      </c>
      <c r="L74" t="str">
        <f ca="1">IF(($E74="")+($F74=""),"",_xlfn.CONCAT("bindings.add(",OFFSET('Switch Positions'!$A$1,MATCH($E74,'Switch Positions'!A:A,0)-1,1),",",OFFSET('Switch Positions'!$A$1,MATCH($E74,'Switch Positions'!A:A,0)-1,2+$F74),", ",$C74,", ",$D74,")"))</f>
        <v xml:space="preserve">bindings.add(5,4, , )</v>
      </c>
    </row>
    <row r="75">
      <c r="A75" t="s">
        <v>162</v>
      </c>
      <c r="B75" t="s">
        <v>105</v>
      </c>
      <c r="C75">
        <v>1</v>
      </c>
      <c r="D75">
        <v>21</v>
      </c>
      <c r="E75" t="s">
        <v>12</v>
      </c>
      <c r="F75" s="6">
        <v>2</v>
      </c>
      <c r="G75" t="s">
        <v>6</v>
      </c>
      <c r="H75" s="6">
        <v>3</v>
      </c>
      <c r="J75" s="6"/>
      <c r="L75" t="str">
        <f ca="1">IF(($E75="")+($F75=""),"",_xlfn.CONCAT("bindings.add(",OFFSET('Switch Positions'!$A$1,MATCH($E75,'Switch Positions'!A:A,0)-1,1),",",OFFSET('Switch Positions'!$A$1,MATCH($E75,'Switch Positions'!A:A,0)-1,2+$F75),", ",$C75,", ",$D75,")"))</f>
        <v xml:space="preserve">bindings.add(5,4, 1, 21)</v>
      </c>
    </row>
    <row r="76">
      <c r="A76" t="s">
        <v>163</v>
      </c>
      <c r="B76" t="s">
        <v>164</v>
      </c>
      <c r="C76">
        <v>3</v>
      </c>
      <c r="D76">
        <v>16</v>
      </c>
      <c r="E76" t="s">
        <v>18</v>
      </c>
      <c r="F76" s="6">
        <v>0</v>
      </c>
      <c r="H76" s="6"/>
      <c r="J76" s="6"/>
      <c r="L76" t="str">
        <f ca="1">IF(($E76="")+($F76=""),"",_xlfn.CONCAT("bindings.add(",OFFSET('Switch Positions'!$A$1,MATCH($E76,'Switch Positions'!A:A,0)-1,1),",",OFFSET('Switch Positions'!$A$1,MATCH($E76,'Switch Positions'!A:A,0)-1,2+$F76),", ",$C76,", ",$D76,")"))</f>
        <v xml:space="preserve">bindings.add(9,5, 3, 16)</v>
      </c>
    </row>
    <row r="77">
      <c r="A77" t="s">
        <v>165</v>
      </c>
      <c r="B77" t="s">
        <v>164</v>
      </c>
      <c r="C77">
        <v>1</v>
      </c>
      <c r="D77">
        <v>18</v>
      </c>
      <c r="E77" t="s">
        <v>18</v>
      </c>
      <c r="F77" s="6">
        <v>1</v>
      </c>
      <c r="H77" s="6"/>
      <c r="J77" s="6"/>
      <c r="L77" t="str">
        <f ca="1">IF(($E77="")+($F77=""),"",_xlfn.CONCAT("bindings.add(",OFFSET('Switch Positions'!$A$1,MATCH($E77,'Switch Positions'!A:A,0)-1,1),",",OFFSET('Switch Positions'!$A$1,MATCH($E77,'Switch Positions'!A:A,0)-1,2+$F77),", ",$C77,", ",$D77,")"))</f>
        <v xml:space="preserve">bindings.add(9,3, 1, 18)</v>
      </c>
    </row>
    <row r="78">
      <c r="A78" t="s">
        <v>166</v>
      </c>
      <c r="B78" t="s">
        <v>164</v>
      </c>
      <c r="C78">
        <v>1</v>
      </c>
      <c r="D78">
        <v>7</v>
      </c>
      <c r="E78" t="s">
        <v>18</v>
      </c>
      <c r="F78" s="6">
        <v>2</v>
      </c>
      <c r="H78" s="6"/>
      <c r="J78" s="6"/>
      <c r="L78" t="str">
        <f ca="1">IF(($E78="")+($F78=""),"",_xlfn.CONCAT("bindings.add(",OFFSET('Switch Positions'!$A$1,MATCH($E78,'Switch Positions'!A:A,0)-1,1),",",OFFSET('Switch Positions'!$A$1,MATCH($E78,'Switch Positions'!A:A,0)-1,2+$F78),", ",$C78,", ",$D78,")"))</f>
        <v xml:space="preserve">bindings.add(9,1, 1, 7)</v>
      </c>
    </row>
    <row r="79">
      <c r="A79" t="s">
        <v>167</v>
      </c>
      <c r="B79" t="s">
        <v>168</v>
      </c>
      <c r="C79">
        <v>2</v>
      </c>
      <c r="D79">
        <v>4</v>
      </c>
      <c r="E79" t="s">
        <v>21</v>
      </c>
      <c r="F79" s="6">
        <v>0</v>
      </c>
      <c r="H79" s="6"/>
      <c r="J79" s="6"/>
      <c r="L79" t="str">
        <f ca="1">IF(($E79="")+($F79=""),"",_xlfn.CONCAT("bindings.add(",OFFSET('Switch Positions'!$A$1,MATCH($E79,'Switch Positions'!A:A,0)-1,1),",",OFFSET('Switch Positions'!$A$1,MATCH($E79,'Switch Positions'!A:A,0)-1,2+$F79),", ",$C79,", ",$D79,")"))</f>
        <v xml:space="preserve">bindings.add(11,3, 2, 4)</v>
      </c>
    </row>
    <row r="80">
      <c r="A80" t="s">
        <v>21</v>
      </c>
      <c r="B80" t="s">
        <v>21</v>
      </c>
      <c r="C80">
        <v>2</v>
      </c>
      <c r="D80">
        <v>8</v>
      </c>
      <c r="E80" t="s">
        <v>21</v>
      </c>
      <c r="F80" s="6">
        <v>1</v>
      </c>
      <c r="H80" s="6"/>
      <c r="J80" s="6"/>
      <c r="L80" t="str">
        <f ca="1">IF(($E80="")+($F80=""),"",_xlfn.CONCAT("bindings.add(",OFFSET('Switch Positions'!$A$1,MATCH($E80,'Switch Positions'!A:A,0)-1,1),",",OFFSET('Switch Positions'!$A$1,MATCH($E80,'Switch Positions'!A:A,0)-1,2+$F80),", ",$C80,", ",$D80,")"))</f>
        <v xml:space="preserve">bindings.add(11,1, 2, 8)</v>
      </c>
    </row>
    <row r="81">
      <c r="A81" t="s">
        <v>169</v>
      </c>
      <c r="B81" t="s">
        <v>105</v>
      </c>
      <c r="C81">
        <v>1</v>
      </c>
      <c r="D81">
        <v>14</v>
      </c>
      <c r="E81" t="s">
        <v>21</v>
      </c>
      <c r="F81" s="6">
        <v>2</v>
      </c>
      <c r="H81" s="6"/>
      <c r="J81" s="6"/>
      <c r="L81" t="str">
        <f ca="1">IF(($E81="")+($F81=""),"",_xlfn.CONCAT("bindings.add(",OFFSET('Switch Positions'!$A$1,MATCH($E81,'Switch Positions'!A:A,0)-1,1),",",OFFSET('Switch Positions'!$A$1,MATCH($E81,'Switch Positions'!A:A,0)-1,2+$F81),", ",$C81,", ",$D81,")"))</f>
        <v xml:space="preserve">bindings.add(11,5, 1, 14)</v>
      </c>
    </row>
    <row r="82">
      <c r="A82" t="s">
        <v>170</v>
      </c>
      <c r="B82" t="s">
        <v>105</v>
      </c>
      <c r="E82" t="s">
        <v>21</v>
      </c>
      <c r="F82" s="6">
        <v>3</v>
      </c>
      <c r="H82" s="6"/>
      <c r="J82" s="6"/>
      <c r="K82" t="s">
        <v>171</v>
      </c>
      <c r="L82" t="str">
        <f ca="1">IF(($E82="")+($F82=""),"",_xlfn.CONCAT("bindings.add(",OFFSET('Switch Positions'!$A$1,MATCH($E82,'Switch Positions'!A:A,0)-1,1),",",OFFSET('Switch Positions'!$A$1,MATCH($E82,'Switch Positions'!A:A,0)-1,2+$F82),", ",$C82,", ",$D82,")"))</f>
        <v xml:space="preserve">bindings.add(11,4, , )</v>
      </c>
    </row>
    <row r="83">
      <c r="A83" t="s">
        <v>172</v>
      </c>
      <c r="B83" t="s">
        <v>105</v>
      </c>
      <c r="C83">
        <v>1</v>
      </c>
      <c r="D83">
        <v>16</v>
      </c>
      <c r="E83" t="s">
        <v>21</v>
      </c>
      <c r="F83" s="6">
        <v>3</v>
      </c>
      <c r="H83" s="6"/>
      <c r="J83" s="6"/>
      <c r="K83"/>
      <c r="L83" t="str">
        <f ca="1">IF(($E83="")+($F83=""),"",_xlfn.CONCAT("bindings.add(",OFFSET('Switch Positions'!$A$1,MATCH($E83,'Switch Positions'!A:A,0)-1,1),",",OFFSET('Switch Positions'!$A$1,MATCH($E83,'Switch Positions'!A:A,0)-1,2+$F83),", ",$C83,", ",$D83,")"))</f>
        <v xml:space="preserve">bindings.add(11,4, 1, 16)</v>
      </c>
    </row>
    <row r="84">
      <c r="A84" t="s">
        <v>173</v>
      </c>
      <c r="B84" t="s">
        <v>105</v>
      </c>
      <c r="E84" t="s">
        <v>30</v>
      </c>
      <c r="F84" s="6">
        <v>0</v>
      </c>
      <c r="H84" s="6"/>
      <c r="J84" s="6"/>
      <c r="K84" s="8" t="s">
        <v>174</v>
      </c>
      <c r="L84" t="str">
        <f ca="1">IF(($E84="")+($F84=""),"",_xlfn.CONCAT("bindings.add(",OFFSET('Switch Positions'!$A$1,MATCH($E84,'Switch Positions'!A:A,0)-1,1),",",OFFSET('Switch Positions'!$A$1,MATCH($E84,'Switch Positions'!A:A,0)-1,2+$F84),", ",$C84,", ",$D84,")"))</f>
        <v xml:space="preserve">bindings.add(20,6, , )</v>
      </c>
    </row>
    <row r="85">
      <c r="A85" t="s">
        <v>175</v>
      </c>
      <c r="B85" t="s">
        <v>137</v>
      </c>
      <c r="C85">
        <v>2</v>
      </c>
      <c r="D85">
        <v>0</v>
      </c>
      <c r="E85" t="s">
        <v>29</v>
      </c>
      <c r="F85" s="6">
        <v>0</v>
      </c>
      <c r="H85" s="6"/>
      <c r="J85" s="6"/>
      <c r="K85" s="9"/>
      <c r="L85" t="str">
        <f ca="1">IF(($E85="")+($F85=""),"",_xlfn.CONCAT("bindings.add(",OFFSET('Switch Positions'!$A$1,MATCH($E85,'Switch Positions'!A:A,0)-1,1),",",OFFSET('Switch Positions'!$A$1,MATCH($E85,'Switch Positions'!A:A,0)-1,2+$F85),", ",$C85,", ",$D85,")"))</f>
        <v xml:space="preserve">bindings.add(19,4, 2, 0)</v>
      </c>
    </row>
    <row r="86">
      <c r="A86" t="s">
        <v>176</v>
      </c>
      <c r="B86" t="s">
        <v>137</v>
      </c>
      <c r="C86">
        <v>2</v>
      </c>
      <c r="D86">
        <v>17</v>
      </c>
      <c r="E86" t="s">
        <v>29</v>
      </c>
      <c r="F86" s="6">
        <v>1</v>
      </c>
      <c r="H86" s="6"/>
      <c r="J86" s="6"/>
      <c r="L86" t="str">
        <f ca="1">IF(($E86="")+($F86=""),"",_xlfn.CONCAT("bindings.add(",OFFSET('Switch Positions'!$A$1,MATCH($E86,'Switch Positions'!A:A,0)-1,1),",",OFFSET('Switch Positions'!$A$1,MATCH($E86,'Switch Positions'!A:A,0)-1,2+$F86),", ",$C86,", ",$D86,")"))</f>
        <v xml:space="preserve">bindings.add(19,5, 2, 17)</v>
      </c>
    </row>
    <row r="87">
      <c r="A87" t="s">
        <v>177</v>
      </c>
      <c r="B87" t="s">
        <v>137</v>
      </c>
      <c r="C87">
        <v>2</v>
      </c>
      <c r="D87">
        <v>18</v>
      </c>
      <c r="E87" t="s">
        <v>29</v>
      </c>
      <c r="F87" s="6">
        <v>3</v>
      </c>
      <c r="H87" s="6"/>
      <c r="J87" s="6"/>
      <c r="L87" t="str">
        <f ca="1">IF(($E87="")+($F87=""),"",_xlfn.CONCAT("bindings.add(",OFFSET('Switch Positions'!$A$1,MATCH($E87,'Switch Positions'!A:A,0)-1,1),",",OFFSET('Switch Positions'!$A$1,MATCH($E87,'Switch Positions'!A:A,0)-1,2+$F87),", ",$C87,", ",$D87,")"))</f>
        <v xml:space="preserve">bindings.add(19,1, 2, 18)</v>
      </c>
    </row>
    <row r="88">
      <c r="B88" t="s">
        <v>43</v>
      </c>
      <c r="C88">
        <v>1</v>
      </c>
      <c r="D88">
        <v>27</v>
      </c>
      <c r="E88" t="s">
        <v>178</v>
      </c>
      <c r="F88" s="2"/>
      <c r="H88" s="2"/>
      <c r="J88" s="2"/>
      <c r="L88" t="e">
        <f ca="1">IF(#REF!="","",_xlfn.CONCAT("bindings.add(",#REF!,",",INDIRECT(ADDRESS(#REF!+2,F88+4,1,TRUE,"Switch Positions")),", ",C88,", ",D88,")"))</f>
        <v>#REF!</v>
      </c>
    </row>
    <row r="89">
      <c r="B89" s="8" t="s">
        <v>43</v>
      </c>
      <c r="C89">
        <v>1</v>
      </c>
      <c r="D89">
        <v>31</v>
      </c>
      <c r="E89" t="s">
        <v>178</v>
      </c>
      <c r="F89" s="2"/>
      <c r="H89" s="2"/>
      <c r="J89" s="2"/>
      <c r="L89" t="e">
        <f ca="1">IF(#REF!="","",_xlfn.CONCAT("bindings.add(",#REF!,",",INDIRECT(ADDRESS(#REF!+2,F89+4,1,TRUE,"Switch Positions")),", ",C89,", ",D89,")"))</f>
        <v>#REF!</v>
      </c>
    </row>
    <row r="90">
      <c r="A90" t="s">
        <v>179</v>
      </c>
      <c r="B90" t="s">
        <v>78</v>
      </c>
      <c r="C90">
        <v>2</v>
      </c>
      <c r="D90">
        <v>3</v>
      </c>
      <c r="E90" t="s">
        <v>178</v>
      </c>
      <c r="F90" s="6"/>
      <c r="H90" s="6"/>
      <c r="J90" s="6"/>
      <c r="L90" t="str">
        <f ca="1">IF(($E90="")+($F90=""),"",_xlfn.CONCAT("bindings.add(",OFFSET('Switch Positions'!$A$1,MATCH($E90,'Switch Positions'!A:A,0)-1,1+$F90),",",OFFSET('Switch Positions'!$A$1,MATCH($E90,'Switch Positions'!A:A,0)-1,3+$F90),", ",$C90,", ",$D90,")"))</f>
        <v/>
      </c>
    </row>
    <row r="91">
      <c r="A91" t="s">
        <v>180</v>
      </c>
      <c r="B91" t="s">
        <v>105</v>
      </c>
      <c r="C91">
        <v>1</v>
      </c>
      <c r="D91">
        <v>30</v>
      </c>
      <c r="E91" t="s">
        <v>178</v>
      </c>
      <c r="F91" s="6"/>
      <c r="H91" s="6"/>
      <c r="J91" s="6"/>
      <c r="L91" t="str">
        <f ca="1">IF(($E91="")+($F91=""),"",_xlfn.CONCAT("bindings.add(",OFFSET('Switch Positions'!$A$1,MATCH($E91,'Switch Positions'!A:A,0)-1,1),",",OFFSET('Switch Positions'!$A$1,MATCH($E91,'Switch Positions'!A:A,0)-1,2+$F91),", ",$C91,", ",$D91,")"))</f>
        <v/>
      </c>
      <c r="M91" s="3" t="s">
        <v>181</v>
      </c>
    </row>
    <row r="92">
      <c r="A92" t="s">
        <v>182</v>
      </c>
      <c r="B92" t="s">
        <v>137</v>
      </c>
      <c r="C92">
        <v>1</v>
      </c>
      <c r="D92">
        <v>26</v>
      </c>
      <c r="E92" t="s">
        <v>178</v>
      </c>
      <c r="F92" s="6"/>
      <c r="H92" s="6"/>
      <c r="J92" s="6"/>
      <c r="L92" t="str">
        <f ca="1">IF(($E92="")+($F92=""),"",_xlfn.CONCAT("bindings.add(",OFFSET('Switch Positions'!$A$1,MATCH($E92,'Switch Positions'!A:A,0)-1,1),",",OFFSET('Switch Positions'!$A$1,MATCH($E92,'Switch Positions'!A:A,0)-1,2+$F92),", ",$C92,", ",$D92,")"))</f>
        <v/>
      </c>
    </row>
    <row r="93">
      <c r="A93" t="s">
        <v>43</v>
      </c>
      <c r="B93" s="7" t="s">
        <v>43</v>
      </c>
      <c r="C93">
        <v>2</v>
      </c>
      <c r="D93">
        <v>7</v>
      </c>
      <c r="E93" t="s">
        <v>178</v>
      </c>
      <c r="F93" s="6"/>
      <c r="H93" s="6"/>
      <c r="J93" s="6"/>
      <c r="K93" t="s">
        <v>183</v>
      </c>
      <c r="L93" t="str">
        <f ca="1">IF(($E93="")+($F93=""),"",_xlfn.CONCAT("bindings.add(",OFFSET('Switch Positions'!$A$1,MATCH($E93,'Switch Positions'!A:A,0)-1,1),",",OFFSET('Switch Positions'!$A$1,MATCH($E93,'Switch Positions'!A:A,0)-1,2+$F93),", ",$C93,", ",$D93,")"))</f>
        <v/>
      </c>
    </row>
    <row r="94">
      <c r="B94" t="s">
        <v>43</v>
      </c>
      <c r="C94">
        <v>1</v>
      </c>
      <c r="D94">
        <v>4</v>
      </c>
      <c r="F94" s="6"/>
      <c r="H94" s="6"/>
      <c r="J94" s="6"/>
      <c r="L94" t="e">
        <f ca="1">IF(#REF!="","",_xlfn.CONCAT("bindings.add(",#REF!,",",INDIRECT(ADDRESS(#REF!+2,F94+4,1,TRUE,"Switch Positions")),", ",C94,", ",D94,")"))</f>
        <v>#REF!</v>
      </c>
    </row>
    <row r="95">
      <c r="B95" t="s">
        <v>43</v>
      </c>
      <c r="C95">
        <v>1</v>
      </c>
      <c r="D95">
        <v>9</v>
      </c>
      <c r="F95" s="6"/>
      <c r="H95" s="6"/>
      <c r="J95" s="6"/>
      <c r="L95" t="e">
        <f ca="1">IF(#REF!="","",_xlfn.CONCAT("bindings.add(",#REF!,",",INDIRECT(ADDRESS(#REF!+2,F95+4,1,TRUE,"Switch Positions")),", ",C95,", ",D95,")"))</f>
        <v>#REF!</v>
      </c>
    </row>
    <row r="96">
      <c r="A96"/>
      <c r="B96" t="s">
        <v>43</v>
      </c>
      <c r="C96">
        <v>1</v>
      </c>
      <c r="D96">
        <v>10</v>
      </c>
      <c r="F96" s="6"/>
      <c r="G96"/>
      <c r="H96" s="6"/>
      <c r="I96"/>
      <c r="J96" s="6"/>
      <c r="K96"/>
      <c r="L96" t="e">
        <f ca="1">IF(#REF!="","",_xlfn.CONCAT("bindings.add(",#REF!,",",INDIRECT(ADDRESS(#REF!+2,F96+4,1,TRUE,"Switch Positions")),", ",C96,", ",D96,")"))</f>
        <v>#REF!</v>
      </c>
    </row>
    <row r="97">
      <c r="A97" s="8" t="s">
        <v>184</v>
      </c>
      <c r="B97" s="8" t="s">
        <v>9</v>
      </c>
      <c r="C97">
        <v>3</v>
      </c>
      <c r="D97">
        <v>19</v>
      </c>
      <c r="F97" s="6"/>
      <c r="H97" s="6"/>
      <c r="J97" s="6"/>
    </row>
    <row r="98">
      <c r="A98" t="s">
        <v>185</v>
      </c>
      <c r="B98" t="s">
        <v>3</v>
      </c>
      <c r="C98">
        <v>1</v>
      </c>
      <c r="D98">
        <v>11</v>
      </c>
      <c r="F98" s="6"/>
      <c r="H98" s="6"/>
      <c r="J98" s="6"/>
      <c r="L98" t="str">
        <f ca="1">IF(($E98="")+($F98=""),"",_xlfn.CONCAT("bindings.add(",OFFSET('Switch Positions'!$A$1,MATCH($E98,'Switch Positions'!A:A,0)-1,1),",",OFFSET('Switch Positions'!$A$1,MATCH($E98,'Switch Positions'!A:A,0)-1,2+$F98),", ",$C98,", ",$D98,")"))</f>
        <v/>
      </c>
    </row>
    <row r="99">
      <c r="A99" t="s">
        <v>186</v>
      </c>
      <c r="B99" t="s">
        <v>43</v>
      </c>
      <c r="C99">
        <v>3</v>
      </c>
      <c r="D99">
        <v>26</v>
      </c>
      <c r="F99" s="6"/>
      <c r="H99" s="6"/>
      <c r="J99" s="6"/>
    </row>
    <row r="100">
      <c r="D100">
        <v>27</v>
      </c>
      <c r="F100" s="2"/>
      <c r="G100" s="2"/>
      <c r="H100" s="2"/>
      <c r="I100" s="2"/>
      <c r="J100" s="2"/>
    </row>
    <row r="101">
      <c r="A101" t="s">
        <v>73</v>
      </c>
      <c r="D101">
        <v>28</v>
      </c>
      <c r="F101" s="2"/>
      <c r="G101" s="2"/>
      <c r="H101" s="2"/>
      <c r="I101" s="2"/>
      <c r="J101" s="2"/>
    </row>
    <row r="102">
      <c r="D102">
        <v>31</v>
      </c>
      <c r="F102" s="2"/>
      <c r="G102" s="2"/>
      <c r="H102" s="2"/>
      <c r="I102" s="2"/>
      <c r="J102" s="2"/>
    </row>
    <row r="108">
      <c r="G108" s="3" t="s">
        <v>187</v>
      </c>
    </row>
  </sheetData>
  <autoFilter ref="A1:L105">
    <sortState ref="A2:L105" columnSort="0">
      <sortCondition sortBy="value" descending="0" ref="E2:E105"/>
      <sortCondition sortBy="value" descending="0" ref="F2:F105"/>
    </sortState>
  </autoFilter>
  <sortState ref="A2:M99">
    <sortCondition ref="B2:B99"/>
    <sortCondition ref="A2:A99"/>
    <sortCondition ref="F2:F99"/>
  </sortState>
  <dataValidations count="1" disablePrompts="0">
    <dataValidation sqref="I2:I97 G2:G97 E2:E99" type="list" allowBlank="1" errorStyle="stop" imeMode="noControl" operator="between" showDropDown="0" showErrorMessage="1" showInputMessage="1">
      <formula1>'Switch Positions'!$A$2:$A$29</formula1>
    </dataValidation>
  </dataValidations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10</cp:revision>
  <dcterms:created xsi:type="dcterms:W3CDTF">2026-01-26T10:41:07Z</dcterms:created>
  <dcterms:modified xsi:type="dcterms:W3CDTF">2026-05-15T06:40:33Z</dcterms:modified>
</cp:coreProperties>
</file>